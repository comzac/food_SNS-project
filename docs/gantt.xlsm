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ulticampus\Desktop\"/>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Schedule!$D$1:$AV$78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5" i="2" l="1"/>
  <c r="AF6" i="2"/>
  <c r="AF7" i="2"/>
  <c r="AF8" i="2"/>
  <c r="AF9" i="2"/>
  <c r="AJ10" i="2"/>
  <c r="AF11" i="2"/>
  <c r="AH12" i="2"/>
  <c r="AJ13" i="2"/>
  <c r="AK14" i="2"/>
  <c r="AK15" i="2"/>
  <c r="AK16" i="2"/>
  <c r="AJ17" i="2"/>
  <c r="AF18" i="2"/>
  <c r="AF19" i="2"/>
  <c r="AF20" i="2"/>
  <c r="AF21" i="2"/>
  <c r="AF22" i="2"/>
  <c r="AG23" i="2"/>
  <c r="AG24" i="2"/>
  <c r="AG25" i="2"/>
  <c r="AJ26" i="2"/>
  <c r="AJ27" i="2"/>
  <c r="AH28" i="2"/>
  <c r="AG29" i="2"/>
  <c r="AG30" i="2"/>
  <c r="AG31" i="2"/>
  <c r="AG32" i="2"/>
  <c r="AH33" i="2"/>
  <c r="AG34" i="2"/>
  <c r="AH35" i="2"/>
  <c r="AH36" i="2"/>
  <c r="AH37" i="2"/>
  <c r="AH38" i="2"/>
  <c r="AH39" i="2"/>
  <c r="AJ40" i="2"/>
  <c r="AI41" i="2"/>
  <c r="AI42" i="2"/>
  <c r="AI43" i="2"/>
  <c r="AI44" i="2"/>
  <c r="AJ45" i="2"/>
  <c r="AJ46" i="2"/>
  <c r="AJ47" i="2"/>
  <c r="AJ48" i="2"/>
  <c r="AJ49" i="2"/>
  <c r="AJ50" i="2"/>
  <c r="AJ51" i="2"/>
  <c r="AH52" i="2"/>
  <c r="AH53" i="2"/>
  <c r="AG54" i="2"/>
  <c r="AH55" i="2"/>
  <c r="AG56" i="2"/>
  <c r="AH57" i="2"/>
  <c r="AH58" i="2"/>
  <c r="AH59" i="2"/>
  <c r="AH60" i="2"/>
  <c r="AH61" i="2"/>
  <c r="AH62" i="2"/>
  <c r="AH63" i="2"/>
  <c r="AJ64" i="2"/>
  <c r="AI65" i="2"/>
  <c r="AI66" i="2"/>
  <c r="AI67" i="2"/>
  <c r="AI68" i="2"/>
  <c r="AI69" i="2"/>
  <c r="AI70" i="2"/>
  <c r="AI71" i="2"/>
  <c r="AJ72" i="2"/>
  <c r="AJ73" i="2"/>
  <c r="AJ74" i="2"/>
  <c r="AJ75" i="2"/>
  <c r="AJ76" i="2"/>
  <c r="AJ77" i="2"/>
  <c r="AJ78"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a="1"/>
  <c r="AE2"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<sst xmlns="http://schemas.openxmlformats.org/spreadsheetml/2006/main" count="2673" uniqueCount="1665">
  <si>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</si>
  <si>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</si>
  <si>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</si>
  <si>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</si>
  <si>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</si>
  <si>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</si>
  <si>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</si>
  <si>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</si>
  <si>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</si>
  <si>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</si>
  <si>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</si>
  <si>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</si>
  <si>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</si>
  <si>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</si>
  <si>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</si>
  <si>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</si>
  <si>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</si>
  <si>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</si>
  <si>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</si>
  <si>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</si>
  <si>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</si>
  <si>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</si>
  <si>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</si>
  <si>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</si>
  <si>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</si>
  <si>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</si>
  <si>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</si>
  <si>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</si>
  <si>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</si>
  <si>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</si>
  <si>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</si>
  <si>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</si>
  <si>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</si>
  <si>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</si>
  <si>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</si>
  <si>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</si>
  <si>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</si>
  <si>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</si>
  <si>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</si>
  <si>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</si>
  <si>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</si>
  <si>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</si>
  <si>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</si>
  <si>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</si>
  <si>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</si>
  <si>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</si>
  <si>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</si>
  <si>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</si>
  <si>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</si>
  <si>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</si>
  <si>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</si>
  <si>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</si>
  <si>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</si>
  <si>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</si>
  <si>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</si>
  <si>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</si>
  <si>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</si>
  <si>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</si>
  <si>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</si>
  <si>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</si>
  <si>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</si>
  <si>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</si>
  <si>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</si>
  <si>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</si>
  <si>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</si>
  <si>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</si>
  <si>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</si>
  <si>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</si>
  <si>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</si>
  <si>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</si>
  <si>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</si>
  <si>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</si>
  <si>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</si>
  <si>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</si>
  <si>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</si>
  <si>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</si>
  <si>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</si>
  <si>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</si>
  <si>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</si>
  <si>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</si>
  <si>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</si>
  <si>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</si>
  <si>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</si>
  <si>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</si>
  <si>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</si>
  <si>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</si>
  <si>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</si>
  <si>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</si>
  <si>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</si>
  <si>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</si>
  <si>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</si>
  <si>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</si>
  <si>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</si>
  <si>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</si>
  <si>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</si>
  <si>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</si>
  <si>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</si>
  <si>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</si>
  <si>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</si>
  <si>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</si>
  <si>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</si>
  <si>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</si>
  <si>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</si>
  <si>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</si>
  <si>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</si>
  <si>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</si>
  <si>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</si>
  <si>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</si>
  <si>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</si>
  <si>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</si>
  <si>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</si>
  <si>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</si>
  <si>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</si>
  <si>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</si>
  <si>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</si>
  <si>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</si>
  <si>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</si>
  <si>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</si>
  <si>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</si>
  <si>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</si>
  <si>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</si>
  <si>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</si>
  <si>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</si>
  <si>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</si>
  <si>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</si>
  <si>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</si>
  <si>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</si>
  <si>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</si>
  <si>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</si>
  <si>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</si>
  <si>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</si>
  <si>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</si>
  <si>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</si>
  <si>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</si>
  <si>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</si>
  <si>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</si>
  <si>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</si>
  <si>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</si>
  <si>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</si>
  <si>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</si>
  <si>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</si>
  <si>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</si>
  <si>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</si>
  <si>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</si>
  <si>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</si>
  <si>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</si>
  <si>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</si>
  <si>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</si>
  <si>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</si>
  <si>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</si>
  <si>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</si>
  <si>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</si>
  <si>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</si>
  <si>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</si>
  <si>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</si>
  <si>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</si>
  <si>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</si>
  <si>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</si>
  <si>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</si>
  <si>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</si>
  <si>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</si>
  <si>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</si>
  <si>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</si>
  <si>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</si>
  <si>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</si>
  <si>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</si>
  <si>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</si>
  <si>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</si>
  <si>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</si>
  <si>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</si>
  <si>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</si>
  <si>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</si>
  <si>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</si>
  <si>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</si>
  <si>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</si>
  <si>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</si>
  <si>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</si>
  <si>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</si>
  <si>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</si>
  <si>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</si>
  <si>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</si>
  <si>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</si>
  <si>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</si>
  <si>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</si>
  <si>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</si>
  <si>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</si>
  <si>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</si>
  <si>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</si>
  <si>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</si>
  <si>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</si>
  <si>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</si>
  <si>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</si>
  <si>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</si>
  <si>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</si>
  <si>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</si>
  <si>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</si>
  <si>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</si>
  <si>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</si>
  <si>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</si>
  <si>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</si>
  <si>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</si>
  <si>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</si>
  <si>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</si>
  <si>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</si>
  <si>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</si>
  <si>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</si>
  <si>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</si>
  <si>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</si>
  <si>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</si>
  <si>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</si>
  <si>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</si>
  <si>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</si>
  <si>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</si>
  <si>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</si>
  <si>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</si>
  <si>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</si>
  <si>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</si>
  <si>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</si>
  <si>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</si>
  <si>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</si>
  <si>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</si>
  <si>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</si>
  <si>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</si>
  <si>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</si>
  <si>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</si>
  <si>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</si>
  <si>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</si>
  <si>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</si>
  <si>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</si>
  <si>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</si>
  <si>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</si>
  <si>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</si>
  <si>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</si>
  <si>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</si>
  <si>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</si>
  <si>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</si>
  <si>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</si>
  <si>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</si>
  <si>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</si>
  <si>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</si>
  <si>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</si>
  <si>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</si>
  <si>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</si>
  <si>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</si>
  <si>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</si>
  <si>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</si>
  <si>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</si>
  <si>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</si>
  <si>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</si>
  <si>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</si>
  <si>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</si>
  <si>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</si>
  <si>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</si>
  <si>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</si>
  <si>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</si>
  <si>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</si>
  <si>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</si>
  <si>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</si>
  <si>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</si>
  <si>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</si>
  <si>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</si>
  <si>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</si>
  <si>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</si>
  <si>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</si>
  <si>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</si>
  <si>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</si>
  <si>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</si>
  <si>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</si>
  <si>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</si>
  <si>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</si>
  <si>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</si>
  <si>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</si>
  <si>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</si>
  <si>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</si>
  <si>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</si>
  <si>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</si>
  <si>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</si>
  <si>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</si>
  <si>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</si>
  <si>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</si>
  <si>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</si>
  <si>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</si>
  <si>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</si>
  <si>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</si>
  <si>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</si>
  <si>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</si>
  <si>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</si>
  <si>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</si>
  <si>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</si>
  <si>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</si>
  <si>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</si>
  <si>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</si>
  <si>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</si>
  <si>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</si>
  <si>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</si>
  <si>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</si>
  <si>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</si>
  <si>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</si>
  <si>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</si>
  <si>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</si>
  <si>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</si>
  <si>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</si>
  <si>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</si>
  <si>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</si>
  <si>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</si>
  <si>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</si>
  <si>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</si>
  <si>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</si>
  <si>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</si>
  <si>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</si>
  <si>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</si>
  <si>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</si>
  <si>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</si>
  <si>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</si>
  <si>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</si>
  <si>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</si>
  <si>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</si>
  <si>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</si>
  <si>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</si>
  <si>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</si>
  <si>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</si>
  <si>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</si>
  <si>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</si>
  <si>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</si>
  <si>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</si>
  <si>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</si>
  <si>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</si>
  <si>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</si>
  <si>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</si>
  <si>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</si>
  <si>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</si>
  <si>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</si>
  <si>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</si>
  <si>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</si>
  <si>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</si>
  <si>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</si>
  <si>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</si>
  <si>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</si>
  <si>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</si>
  <si>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</si>
  <si>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</si>
  <si>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</si>
  <si>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</si>
  <si>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</si>
  <si>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</si>
  <si>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</si>
  <si>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</si>
  <si>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</si>
  <si>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</si>
  <si>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</si>
  <si>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</si>
  <si>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</si>
  <si>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</si>
  <si>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</si>
  <si>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</si>
  <si>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</si>
  <si>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</si>
  <si>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</si>
  <si>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</si>
  <si>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</si>
  <si>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</si>
  <si>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</si>
  <si>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</si>
  <si>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</si>
  <si>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</si>
  <si>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</si>
  <si>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</si>
  <si>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</si>
  <si>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</si>
  <si>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</si>
  <si>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</si>
  <si>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</si>
  <si>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</si>
  <si>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</si>
  <si>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</si>
  <si>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</si>
  <si>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</si>
  <si>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</si>
  <si>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</si>
  <si>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</si>
  <si>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</si>
  <si>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</si>
  <si>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</si>
  <si>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</si>
  <si>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</si>
  <si>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</si>
  <si>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</si>
  <si>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</si>
  <si>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</si>
  <si>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</si>
  <si>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</si>
  <si>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</si>
  <si>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</si>
  <si>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</si>
  <si>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</si>
  <si>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</si>
  <si>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</si>
  <si>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</si>
  <si>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</si>
  <si>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</si>
  <si>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</si>
  <si>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</si>
  <si>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</si>
  <si>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</si>
  <si>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</si>
  <si>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</si>
  <si>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</si>
  <si>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</si>
  <si>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</si>
  <si>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</si>
  <si>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</si>
  <si>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</si>
  <si>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</si>
  <si>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</si>
  <si>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</si>
  <si>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</si>
  <si>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</si>
  <si>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</si>
  <si>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</si>
  <si>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</si>
  <si>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</si>
  <si>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</si>
  <si>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</si>
  <si>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</si>
  <si>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</si>
  <si>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</si>
  <si>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</si>
  <si>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</si>
  <si>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</si>
  <si>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</si>
  <si>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</si>
  <si>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</si>
  <si>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</si>
  <si>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</si>
  <si>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</si>
  <si>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</si>
  <si>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</si>
  <si>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</si>
  <si>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</si>
  <si>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</si>
  <si>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</si>
  <si>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</si>
  <si>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</si>
  <si>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</si>
  <si>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</si>
  <si>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</si>
  <si>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</si>
  <si>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</si>
  <si>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</si>
  <si>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</si>
  <si>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</si>
  <si>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</si>
  <si>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</si>
  <si>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</si>
  <si>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</si>
  <si>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</si>
  <si>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</si>
  <si>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</si>
  <si>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</si>
  <si>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</si>
  <si>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</si>
  <si>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</si>
  <si>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</si>
  <si>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</si>
  <si>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</si>
  <si>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</si>
  <si>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</si>
  <si>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</si>
  <si>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</si>
  <si>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</si>
  <si>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</si>
  <si>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</si>
  <si>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</si>
  <si>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</si>
  <si>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</si>
  <si>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</si>
  <si>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</si>
  <si>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</si>
  <si>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</si>
  <si>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</si>
  <si>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</si>
  <si>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</si>
  <si>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</si>
  <si>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</si>
  <si>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</si>
  <si>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</si>
  <si>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</si>
  <si>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</si>
  <si>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</si>
  <si>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</si>
  <si>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</si>
  <si>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</si>
  <si>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</si>
  <si>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</si>
  <si>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</si>
  <si>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</si>
  <si>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</si>
  <si>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</si>
  <si>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</si>
  <si>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</si>
  <si>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</si>
  <si>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</si>
  <si>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</si>
  <si>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</si>
  <si>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</si>
  <si>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</si>
  <si>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</si>
  <si>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</si>
  <si>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</si>
  <si>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</si>
  <si>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</si>
  <si>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</si>
  <si>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</si>
  <si>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</si>
  <si>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</si>
  <si>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</si>
  <si>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</si>
  <si>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</si>
  <si>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</si>
  <si>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</si>
  <si>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</si>
  <si>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</si>
  <si>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</si>
  <si>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</si>
  <si>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</si>
  <si>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</si>
  <si>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</si>
  <si>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</si>
  <si>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</si>
  <si>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</si>
  <si>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</si>
  <si>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</si>
  <si>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</si>
  <si>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</si>
  <si>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</si>
  <si>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</si>
  <si>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</si>
  <si>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</si>
  <si>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</si>
  <si>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</si>
  <si>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</si>
  <si>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</si>
  <si>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</si>
  <si>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</si>
  <si>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</si>
  <si>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</si>
  <si>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</si>
  <si>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</si>
  <si>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</si>
  <si>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</si>
  <si>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</si>
  <si>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</si>
  <si>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</si>
  <si>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</si>
  <si>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</si>
  <si>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</si>
  <si>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</si>
  <si>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</si>
  <si>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</si>
  <si>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</si>
  <si>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</si>
  <si>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</si>
  <si>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</si>
  <si>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</si>
  <si>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</si>
  <si>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</si>
  <si>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</si>
  <si>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</si>
  <si>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</si>
  <si>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</si>
  <si>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</si>
  <si>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</si>
  <si>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</si>
  <si>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</si>
  <si>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</si>
  <si>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</si>
  <si>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</si>
  <si>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</si>
  <si>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</si>
  <si>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</si>
  <si>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</si>
  <si>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</si>
  <si>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</si>
  <si>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</si>
  <si>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</si>
  <si>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</si>
  <si>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</si>
  <si>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</si>
  <si>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</si>
  <si>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</si>
  <si>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</si>
  <si>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</si>
  <si>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</si>
  <si>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</si>
  <si>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</si>
  <si>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</si>
  <si>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</si>
  <si>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</si>
  <si>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</si>
  <si>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</si>
  <si>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</si>
  <si>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</si>
  <si>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</si>
  <si>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</si>
  <si>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</si>
  <si>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</si>
  <si>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</si>
  <si>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</si>
  <si>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</si>
  <si>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</si>
  <si>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</si>
  <si>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</si>
  <si>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</si>
  <si>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</si>
  <si>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</si>
  <si>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</si>
  <si>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</si>
  <si>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</si>
  <si>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</si>
  <si>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</si>
  <si>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</si>
  <si>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</si>
  <si>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</si>
  <si>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</si>
  <si>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</si>
  <si>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</si>
  <si>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</si>
  <si>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</si>
  <si>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</si>
  <si>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</si>
  <si>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</si>
  <si>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</si>
  <si>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</si>
  <si>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</si>
  <si>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</si>
  <si>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</si>
  <si>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</si>
  <si>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</si>
  <si>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</si>
  <si>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</si>
  <si>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</si>
  <si>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</si>
  <si>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</si>
  <si>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</si>
  <si>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</si>
  <si>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</si>
  <si>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</si>
  <si>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</si>
  <si>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</si>
  <si>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</si>
  <si>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</si>
  <si>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</si>
  <si>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</si>
  <si>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</si>
  <si>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</si>
  <si>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</si>
  <si>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</si>
  <si>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</si>
  <si>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</si>
  <si>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</si>
  <si>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</si>
  <si>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</si>
  <si>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</si>
  <si>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</si>
  <si>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</si>
  <si>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</si>
  <si>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</si>
  <si>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</si>
  <si>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</si>
  <si>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</si>
  <si>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</si>
  <si>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</si>
  <si>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</si>
  <si>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</si>
  <si>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</si>
  <si>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</si>
  <si>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</si>
  <si>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</si>
  <si>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</si>
  <si>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</si>
  <si>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</si>
  <si>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</si>
  <si>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</si>
  <si>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</si>
  <si>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</si>
  <si>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</si>
  <si>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</si>
  <si>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</si>
  <si>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</si>
  <si>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</si>
  <si>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</si>
  <si>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</si>
  <si>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</si>
  <si>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</si>
  <si>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</si>
  <si>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</si>
  <si>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</si>
  <si>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</si>
  <si>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</si>
  <si>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</si>
  <si>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</si>
  <si>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</si>
  <si>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</si>
  <si>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</si>
  <si>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</si>
  <si>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</si>
  <si>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</si>
  <si>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</si>
  <si>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</si>
  <si>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</si>
  <si>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</si>
  <si>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</si>
  <si>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</si>
  <si>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</si>
  <si>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</si>
  <si>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</si>
  <si>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</si>
  <si>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</si>
  <si>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</si>
  <si>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</si>
  <si>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</si>
  <si>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</si>
  <si>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</si>
  <si>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</si>
  <si>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</si>
  <si>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</si>
  <si>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</si>
  <si>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</si>
  <si>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</si>
  <si>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</si>
  <si>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</si>
  <si>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</si>
  <si>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</si>
  <si>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</si>
  <si>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</si>
  <si>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</si>
  <si>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</si>
  <si>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</si>
  <si>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</si>
  <si>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</si>
  <si>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</si>
  <si>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</si>
  <si>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</si>
  <si>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</si>
  <si>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</si>
  <si>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</si>
  <si>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</si>
  <si>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</si>
  <si>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</si>
  <si>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</si>
  <si>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</si>
  <si>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</si>
  <si>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</si>
  <si>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</si>
  <si>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</si>
  <si>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</si>
  <si>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</si>
  <si>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</si>
  <si>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</si>
  <si>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</si>
  <si>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</si>
  <si>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</si>
  <si>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</si>
  <si>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</si>
  <si>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</si>
  <si>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</si>
  <si>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</si>
  <si>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</si>
  <si>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</si>
  <si>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</si>
  <si>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</si>
  <si>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</si>
  <si>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</si>
  <si>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</si>
  <si>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</si>
  <si>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</si>
  <si>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</si>
  <si>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</si>
  <si>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</si>
  <si>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</si>
  <si>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</si>
  <si>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</si>
  <si>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</si>
  <si>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</si>
  <si>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</si>
  <si>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</si>
  <si>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</si>
  <si>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</si>
  <si>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</si>
  <si>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</si>
  <si>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</si>
  <si>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</si>
  <si>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</si>
  <si>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</si>
  <si>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</si>
  <si>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</si>
  <si>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</si>
  <si>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</si>
  <si>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</si>
  <si>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</si>
  <si>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</si>
  <si>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</si>
  <si>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</si>
  <si>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</si>
  <si>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</si>
  <si>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</si>
  <si>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</si>
  <si>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</si>
  <si>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</si>
  <si>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</si>
  <si>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</si>
  <si>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</si>
  <si>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</si>
  <si>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</si>
  <si>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</si>
  <si>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</si>
  <si>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</si>
  <si>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</si>
  <si>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</si>
  <si>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</si>
  <si>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</si>
  <si>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</si>
  <si>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</si>
  <si>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</si>
  <si>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</si>
  <si>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</si>
  <si>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</si>
  <si>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</si>
  <si>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</si>
  <si>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</si>
  <si>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</si>
  <si>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</si>
  <si>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</si>
  <si>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</si>
  <si>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</si>
  <si>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</si>
  <si>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</si>
  <si>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</si>
  <si>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</si>
  <si>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</si>
  <si>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</si>
  <si>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</si>
  <si>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</si>
  <si>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</si>
  <si>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</si>
  <si>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</si>
  <si>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</si>
  <si>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</si>
  <si>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</si>
  <si>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</si>
  <si>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</si>
  <si>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</si>
  <si>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</si>
  <si>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</si>
  <si>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</si>
  <si>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</si>
  <si>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</si>
  <si>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</si>
  <si>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</si>
  <si>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</si>
  <si>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</si>
  <si>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</si>
  <si>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</si>
  <si>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</si>
  <si>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</si>
  <si>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</si>
  <si>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</si>
  <si>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</si>
  <si>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</si>
  <si>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</si>
  <si>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</si>
  <si>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</si>
  <si>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</si>
  <si>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</si>
  <si>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</si>
  <si>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</si>
  <si>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</si>
  <si>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</si>
  <si>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</si>
  <si>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</si>
  <si>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</si>
  <si>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</si>
  <si>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</si>
  <si>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</si>
  <si>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</si>
  <si>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</si>
  <si>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</si>
  <si>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</si>
  <si>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</si>
  <si>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</si>
  <si>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</si>
  <si>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</si>
  <si>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</si>
  <si>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</si>
  <si>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</si>
  <si>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</si>
  <si>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</si>
  <si>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</si>
  <si>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</si>
  <si>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</si>
  <si>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</si>
  <si>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</si>
  <si>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</si>
  <si>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</si>
  <si>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</si>
  <si>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</si>
  <si>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</si>
  <si>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</si>
  <si>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</si>
  <si>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</si>
  <si>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</si>
  <si>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</si>
  <si>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</si>
  <si>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</si>
  <si>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</si>
  <si>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</si>
  <si>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</si>
  <si>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</si>
  <si>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</si>
  <si>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</si>
  <si>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</si>
  <si>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</si>
  <si>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</si>
  <si>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</si>
  <si>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</si>
  <si>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</si>
  <si>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</si>
  <si>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</si>
  <si>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</si>
  <si>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</si>
  <si>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</si>
  <si>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</si>
  <si>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</si>
  <si>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</si>
  <si>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</si>
  <si>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</si>
  <si>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</si>
  <si>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</si>
  <si>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</si>
  <si>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</si>
  <si>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</si>
  <si>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</si>
  <si>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</si>
  <si>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</si>
  <si>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</si>
  <si>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</si>
  <si>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</si>
  <si>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</si>
  <si>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</si>
  <si>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</si>
  <si>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</si>
  <si>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</si>
  <si>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</si>
  <si>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</si>
  <si>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</si>
  <si>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</si>
  <si>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</si>
  <si>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</si>
  <si>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</si>
  <si>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</si>
  <si>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</si>
  <si>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</si>
  <si>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</si>
  <si>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</si>
  <si>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</si>
  <si>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</si>
  <si>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</si>
  <si>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</si>
  <si>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</si>
  <si>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</si>
  <si>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</si>
  <si>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</si>
  <si>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</si>
  <si>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</si>
  <si>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</si>
  <si>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</si>
  <si>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</si>
  <si>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</si>
  <si>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</si>
  <si>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</si>
  <si>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</si>
  <si>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</si>
  <si>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</si>
  <si>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</si>
  <si>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</si>
  <si>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</si>
  <si>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</si>
  <si>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</si>
  <si>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</si>
  <si>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</si>
  <si>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</si>
  <si>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</si>
  <si>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</si>
  <si>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</si>
  <si>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</si>
  <si>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</si>
  <si>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</si>
  <si>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</si>
  <si>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</si>
  <si>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</si>
  <si>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</si>
  <si>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</si>
  <si>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</si>
  <si>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</si>
  <si>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</si>
  <si>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</si>
  <si>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</si>
  <si>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</si>
  <si>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</si>
  <si>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</si>
  <si>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</si>
  <si>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</si>
  <si>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</si>
  <si>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</si>
  <si>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</si>
  <si>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</si>
  <si>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</si>
  <si>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</si>
  <si>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</si>
  <si>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</si>
  <si>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</si>
  <si>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</si>
  <si>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</si>
  <si>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</si>
  <si>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</si>
  <si>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</si>
  <si>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</si>
  <si>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</si>
  <si>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</si>
  <si>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</si>
  <si>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</si>
  <si>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</si>
  <si>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</si>
  <si>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</si>
  <si>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</si>
  <si>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</si>
  <si>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</si>
  <si>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</si>
  <si>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</si>
  <si>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</si>
  <si>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</si>
  <si>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</si>
  <si>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</si>
  <si>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</si>
  <si>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</si>
  <si>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</si>
  <si>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</si>
  <si>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</si>
  <si>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</si>
  <si>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</si>
  <si>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</si>
  <si>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</si>
  <si>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</si>
  <si>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</si>
  <si>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</si>
  <si>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</si>
  <si>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</si>
  <si>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</si>
  <si>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</si>
  <si>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</si>
  <si>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</si>
  <si>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</si>
  <si>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</si>
  <si>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</si>
  <si>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</si>
  <si>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</si>
  <si>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</si>
  <si>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</si>
  <si>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</si>
  <si>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</si>
  <si>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</si>
  <si>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</si>
  <si>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</si>
  <si>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</si>
  <si>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</si>
  <si>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</si>
  <si>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</si>
  <si>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</si>
  <si>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</si>
  <si>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</si>
  <si>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</si>
  <si>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</si>
  <si>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</si>
  <si>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</si>
  <si>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</si>
  <si>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</si>
  <si>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</si>
  <si>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</si>
  <si>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</si>
  <si>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</si>
  <si>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</si>
  <si>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</si>
  <si>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</si>
  <si>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</si>
  <si>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</si>
  <si>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</si>
  <si>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</si>
  <si>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</si>
  <si>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</si>
  <si>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</si>
  <si>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</si>
  <si>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</si>
  <si>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</si>
  <si>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</si>
  <si>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</si>
  <si>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</si>
  <si>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</si>
  <si>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</si>
  <si>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</si>
  <si>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</si>
  <si>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</si>
  <si>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</si>
  <si>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</si>
  <si>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</si>
  <si>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</si>
  <si>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</si>
  <si>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</si>
  <si>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</si>
  <si>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</si>
  <si>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</si>
  <si>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</si>
  <si>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</si>
  <si>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</si>
  <si>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</si>
  <si>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</si>
  <si>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</si>
  <si>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</si>
  <si>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</si>
  <si>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</si>
  <si>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</si>
  <si>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</si>
  <si>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</si>
  <si>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</si>
  <si>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</si>
  <si>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</si>
  <si>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</si>
  <si>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</si>
  <si>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</si>
  <si>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</si>
  <si>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</si>
  <si>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</si>
  <si>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</si>
  <si>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</si>
  <si>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</si>
  <si>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</si>
  <si>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</si>
  <si>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</si>
  <si>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</si>
  <si>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</si>
  <si>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</si>
  <si>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</si>
  <si>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</si>
  <si>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</si>
  <si>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</si>
  <si>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</si>
  <si>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</si>
  <si>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</si>
  <si>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</si>
  <si>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</si>
  <si>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</si>
  <si>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</si>
  <si>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</si>
  <si>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</si>
  <si>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</si>
  <si>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</si>
  <si>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</si>
  <si>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</si>
  <si>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</si>
  <si>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</si>
  <si>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</si>
  <si>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</si>
  <si>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</si>
  <si>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</si>
  <si>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</si>
  <si>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</si>
  <si>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</si>
  <si>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</si>
  <si>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</si>
  <si>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</si>
  <si>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</si>
  <si>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</si>
  <si>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</si>
  <si>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</si>
  <si>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</si>
  <si>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</si>
  <si>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</si>
  <si>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</si>
  <si>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</si>
  <si>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</si>
  <si>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</si>
  <si>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</si>
  <si>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</si>
  <si>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</si>
  <si>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</si>
  <si>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</si>
  <si>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</si>
  <si>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</si>
  <si>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</si>
  <si>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</si>
  <si>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</si>
  <si>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</si>
  <si>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</si>
  <si>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</si>
  <si>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</si>
  <si>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</si>
  <si>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</si>
  <si>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</si>
  <si>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</si>
  <si>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</si>
  <si>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</si>
  <si>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</si>
  <si>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</si>
  <si>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</si>
  <si>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</si>
  <si>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</si>
  <si>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</si>
  <si>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</si>
  <si>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</si>
  <si>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</si>
  <si>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</si>
  <si>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</si>
  <si>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</si>
  <si>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</si>
  <si>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</si>
  <si>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</si>
  <si>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</si>
  <si>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</si>
  <si>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</si>
  <si>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</si>
  <si>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</si>
  <si>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</si>
  <si>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</si>
  <si>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</si>
  <si>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</si>
  <si>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</si>
  <si>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</si>
  <si>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</si>
  <si>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</si>
  <si>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</si>
  <si>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</si>
  <si>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</si>
  <si>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</si>
  <si>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</si>
  <si>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</si>
  <si>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</si>
  <si>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</si>
  <si>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</si>
  <si>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</si>
  <si>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</si>
  <si>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</si>
  <si>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</si>
  <si>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</si>
  <si>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</si>
  <si>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</si>
  <si>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</si>
  <si>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</si>
  <si>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</si>
  <si>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</si>
  <si>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</si>
  <si>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</si>
  <si>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</si>
  <si>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</si>
  <si>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</si>
  <si>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</si>
  <si>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</si>
  <si>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</si>
  <si>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</si>
  <si>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</si>
  <si>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</si>
  <si>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</si>
  <si>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</si>
  <si>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</si>
  <si>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</si>
  <si>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</si>
  <si>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</si>
  <si>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</si>
  <si>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</si>
  <si>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</si>
  <si>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</si>
  <si>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</si>
  <si>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</si>
  <si>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</si>
  <si>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</si>
  <si>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</si>
  <si>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</si>
  <si>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</si>
  <si>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</si>
  <si>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</si>
  <si>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</si>
  <si>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</si>
  <si>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</si>
  <si>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</si>
  <si>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</si>
  <si>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</si>
  <si>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</si>
  <si>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</si>
  <si>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</si>
  <si>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</si>
  <si>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</si>
  <si>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</si>
  <si>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</si>
  <si>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</si>
  <si>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</si>
  <si>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</si>
  <si>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</si>
  <si>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</si>
  <si>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</si>
  <si>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</si>
  <si>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</si>
  <si>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</si>
  <si>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</si>
  <si>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</si>
  <si>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</si>
  <si>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</si>
  <si>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</si>
  <si>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</si>
  <si>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</si>
  <si>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</si>
  <si>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</si>
  <si>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</si>
  <si>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</si>
  <si>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</si>
  <si>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</si>
  <si>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</si>
  <si>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</si>
  <si>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</si>
  <si>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</si>
  <si>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</si>
  <si>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</si>
  <si>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</si>
  <si>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</si>
  <si>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</si>
  <si>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</si>
  <si>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</si>
  <si>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</si>
  <si>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</si>
  <si>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</si>
  <si>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</si>
  <si>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</si>
  <si>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</si>
  <si>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</si>
  <si>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</si>
  <si>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</si>
  <si>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</si>
  <si>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</si>
  <si>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</si>
  <si>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</si>
  <si>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</si>
  <si>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</si>
  <si>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</si>
  <si>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</si>
  <si>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</si>
  <si>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</si>
  <si>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</si>
  <si>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</si>
  <si>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</si>
  <si>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</si>
  <si>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</si>
  <si>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</si>
  <si>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</si>
  <si>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</si>
  <si>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</si>
  <si>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</si>
  <si>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</si>
  <si>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</si>
  <si>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</si>
  <si>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</si>
  <si>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</si>
  <si>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</si>
  <si>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</si>
  <si>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</si>
  <si>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</si>
  <si>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</si>
  <si>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</si>
  <si>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</si>
  <si>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</si>
  <si>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</si>
  <si>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</si>
  <si>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</si>
  <si>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</si>
  <si>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</si>
  <si>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</si>
  <si>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</si>
  <si>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</si>
  <si>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</si>
  <si>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</si>
  <si>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</si>
  <si>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</si>
  <si>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</si>
  <si>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</si>
  <si>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</si>
  <si>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</si>
  <si>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</si>
  <si>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</si>
  <si>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</si>
  <si>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</si>
  <si>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</si>
  <si>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</si>
  <si>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</si>
  <si>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</si>
  <si>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</si>
  <si>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</si>
  <si>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</si>
  <si>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</si>
  <si>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</si>
  <si>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</si>
  <si>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</si>
  <si>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</si>
  <si>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</si>
  <si>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</si>
  <si>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</si>
  <si>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</si>
  <si>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</si>
  <si>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</si>
  <si>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</si>
  <si>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</si>
  <si>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</si>
  <si>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</si>
  <si>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</si>
  <si>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</si>
  <si>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</si>
  <si>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</si>
  <si>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</si>
  <si>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</si>
  <si>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</si>
  <si>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</si>
  <si>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</si>
  <si>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</si>
  <si>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</si>
  <si>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</si>
  <si>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</si>
  <si>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</si>
  <si>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</si>
  <si>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</si>
  <si>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</si>
  <si>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</si>
  <si>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</si>
  <si>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</si>
  <si>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</si>
  <si>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</si>
  <si>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</si>
  <si>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</si>
  <si>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</si>
  <si>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</si>
  <si>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</si>
  <si>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</si>
  <si>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</si>
  <si>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</si>
  <si>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</si>
  <si>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</si>
  <si>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</si>
  <si>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</si>
  <si>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</si>
  <si>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</si>
  <si>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</si>
  <si>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</si>
  <si>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</si>
  <si>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</si>
  <si>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</si>
  <si>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</si>
  <si>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</si>
  <si>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</si>
  <si>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</si>
  <si>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</si>
  <si>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</si>
  <si>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</si>
  <si>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</si>
  <si>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</si>
  <si>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</si>
  <si>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</si>
  <si>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</si>
  <si>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</si>
  <si>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</si>
  <si>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</si>
  <si>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관리</t>
  </si>
  <si>
    <t>프로젝트 착수 및 계획수립</t>
  </si>
  <si>
    <t>프로젝트 착수</t>
  </si>
  <si>
    <t>프로젝트 범위정의</t>
  </si>
  <si>
    <t>1.1.2.1</t>
  </si>
  <si>
    <t>프로젝트 계획 수립</t>
  </si>
  <si>
    <t>이지은</t>
  </si>
  <si>
    <t>1.1.2.2</t>
  </si>
  <si>
    <t>착수보고(Kick off)</t>
  </si>
  <si>
    <t>프로젝트 수행 및 통제</t>
  </si>
  <si>
    <t>월간보고1</t>
  </si>
  <si>
    <t>월간보고2</t>
  </si>
  <si>
    <t>월간보고3</t>
  </si>
  <si>
    <t>1.2.4</t>
  </si>
  <si>
    <t>중간보고</t>
  </si>
  <si>
    <t>프로젝트 종료</t>
  </si>
  <si>
    <t>종료계획수립</t>
  </si>
  <si>
    <t>시스템 인수인계</t>
  </si>
  <si>
    <t>1.3.3</t>
  </si>
  <si>
    <t>종료보고</t>
  </si>
  <si>
    <t>1.3.4</t>
  </si>
  <si>
    <t>검수 및 종료</t>
  </si>
  <si>
    <t>2.1.1</t>
  </si>
  <si>
    <t>요구사항정의</t>
  </si>
  <si>
    <t>2.1.2</t>
  </si>
  <si>
    <t>논리모델구축</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</si>
  <si>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</si>
  <si>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</si>
  <si>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</si>
  <si>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</si>
  <si>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</si>
  <si>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</si>
  <si>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</si>
  <si>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</si>
  <si>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</si>
  <si>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</si>
  <si>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</si>
  <si>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</si>
  <si>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</si>
  <si>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</si>
  <si>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</si>
  <si>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</si>
  <si>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</si>
  <si>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</si>
  <si>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</si>
  <si>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</si>
  <si>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</si>
  <si>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</si>
  <si>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</si>
  <si>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</si>
  <si>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</si>
  <si>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</si>
  <si>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</si>
  <si>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</si>
  <si>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</si>
  <si>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</si>
  <si>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</si>
  <si>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</si>
  <si>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</si>
  <si>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</si>
  <si>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</si>
  <si>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</si>
  <si>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</si>
  <si>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</si>
  <si>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</si>
  <si>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</si>
  <si>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</si>
  <si>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</si>
  <si>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</si>
  <si>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</si>
  <si>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</si>
  <si>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</si>
  <si>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</si>
  <si>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</si>
  <si>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</si>
  <si>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07/12
W29</t>
  </si>
  <si>
    <t>08/09
W33</t>
  </si>
  <si>
    <t>W5</t>
  </si>
  <si>
    <t>2.1</t>
  </si>
  <si>
    <t>2.2</t>
  </si>
  <si>
    <t>2.3</t>
  </si>
  <si>
    <t>2.4</t>
  </si>
  <si>
    <t>김분석</t>
  </si>
  <si>
    <t>박피엠</t>
  </si>
  <si>
    <t>나고객</t>
  </si>
  <si>
    <t>이고객</t>
  </si>
  <si>
    <t>박설계</t>
  </si>
  <si>
    <t>HoneyCombo</t>
    <phoneticPr fontId="2" type="noConversion"/>
  </si>
  <si>
    <t>sub1 pjt</t>
  </si>
  <si>
    <t>sub2 pjt</t>
  </si>
  <si>
    <t>sub3 pjt</t>
  </si>
  <si>
    <t>UCC 제작</t>
  </si>
  <si>
    <t>07/26
W31</t>
  </si>
  <si>
    <t>W3</t>
  </si>
  <si>
    <t>07/19
W30</t>
  </si>
  <si>
    <t>W2</t>
  </si>
  <si>
    <t>08/02
W32</t>
  </si>
  <si>
    <t>W4</t>
  </si>
  <si>
    <t>08/16
W34</t>
  </si>
  <si>
    <t>W6</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</si>
  <si>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449%,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</si>
  <si>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서비스 개발</t>
  </si>
  <si>
    <t>요구사항 정의</t>
  </si>
  <si>
    <t>프로세스 모델링</t>
  </si>
  <si>
    <t>데이터 모델링</t>
  </si>
  <si>
    <t>백앤드 개발</t>
  </si>
  <si>
    <t>프론트앤드 개발</t>
  </si>
  <si>
    <t>최종배포</t>
  </si>
  <si>
    <t>배포</t>
  </si>
  <si>
    <t>계정</t>
  </si>
  <si>
    <t>피드</t>
  </si>
  <si>
    <t>팔로우</t>
  </si>
  <si>
    <t>알림</t>
  </si>
  <si>
    <t>ㅑ</t>
  </si>
  <si>
    <t>sub2</t>
  </si>
  <si>
    <t>sub3</t>
  </si>
  <si>
    <t>로그인</t>
  </si>
  <si>
    <t>회원가입</t>
  </si>
  <si>
    <t>계정 설정</t>
  </si>
  <si>
    <t>댓글</t>
  </si>
  <si>
    <t>UI/UX</t>
  </si>
  <si>
    <t>인피니트 스크롤</t>
  </si>
  <si>
    <t>검색</t>
  </si>
  <si>
    <t>2.3.1.1.1</t>
  </si>
  <si>
    <t>2.3.1.1.1.1</t>
  </si>
  <si>
    <t>2.3.1.1.1.2</t>
  </si>
  <si>
    <t>2.3.1.1.1.3</t>
  </si>
  <si>
    <t>2.3.1.1.2</t>
  </si>
  <si>
    <t>2.3.1.1.2.1</t>
  </si>
  <si>
    <t>2.3.1.1.2.2</t>
  </si>
  <si>
    <t>2.3.1.1.3</t>
  </si>
  <si>
    <t>2.3.1.1.4</t>
  </si>
  <si>
    <t>2.3.1.1.5</t>
  </si>
  <si>
    <t>2.3.1.1.6</t>
  </si>
  <si>
    <t>2.3.2.1.1</t>
  </si>
  <si>
    <t>2.3.2.1.1.1</t>
  </si>
  <si>
    <t>2.3.2.1.2</t>
  </si>
  <si>
    <t>2.3.2.1.3</t>
  </si>
  <si>
    <t>2.3.2.1.4</t>
  </si>
  <si>
    <t>로그아웃</t>
  </si>
  <si>
    <t>Redis</t>
  </si>
  <si>
    <t>Spring Security, JWT,
 JavaMailSender</t>
  </si>
  <si>
    <t>CRUD</t>
  </si>
  <si>
    <t>2.3.2.1.1.2</t>
  </si>
  <si>
    <t>2.3.2.1.1.3</t>
  </si>
  <si>
    <t>2.3.2.1.2.1</t>
  </si>
  <si>
    <t>팔로우피드</t>
  </si>
  <si>
    <t>2.3.2.1.2.2</t>
  </si>
  <si>
    <t>소셜로그인</t>
  </si>
  <si>
    <t>특화 페이지</t>
  </si>
  <si>
    <t>추천</t>
  </si>
  <si>
    <t>크롭</t>
  </si>
  <si>
    <t>2.3.1.2.5</t>
  </si>
  <si>
    <t>2.3.2.1.5</t>
  </si>
  <si>
    <t>2.3.2.1.6</t>
  </si>
  <si>
    <t>2.3.2.2.1</t>
  </si>
  <si>
    <t>2.3.2.2.2</t>
  </si>
  <si>
    <t>멀티파트파일 관리</t>
  </si>
  <si>
    <t>구글</t>
  </si>
  <si>
    <t>검색 내 검색</t>
  </si>
  <si>
    <t>칵테일 페이지</t>
  </si>
  <si>
    <t>콘테스트 페이지</t>
  </si>
  <si>
    <t>2.3.1.2.2.1</t>
  </si>
  <si>
    <t>2.3.1.2.3.1</t>
  </si>
  <si>
    <t>2.3.1.2.3.2</t>
  </si>
  <si>
    <t>2.3.2.2.3</t>
  </si>
  <si>
    <t>디자인 시각화 변경</t>
  </si>
  <si>
    <t>access token 활용</t>
  </si>
  <si>
    <t>vuetify</t>
  </si>
  <si>
    <t>이미지 커스텀 기능</t>
  </si>
  <si>
    <t>좌표기반 이미지 부분 저장 및 비율 전환</t>
  </si>
  <si>
    <t>2.3.2.2.4</t>
  </si>
  <si>
    <t>2.3.2.2.4.1</t>
  </si>
  <si>
    <t>2.3.2.2.4.1.1</t>
  </si>
  <si>
    <t>저장방식 변경</t>
  </si>
  <si>
    <t>파일 사이즈 압축 저장</t>
  </si>
  <si>
    <t>2.3.2.2.1.1</t>
  </si>
  <si>
    <t>2.3.2.2.1.2</t>
  </si>
  <si>
    <t>사용자 로그 저장</t>
  </si>
  <si>
    <t>2.3.2.2.2.1</t>
  </si>
  <si>
    <t>2.3.2.2.2.2</t>
  </si>
  <si>
    <t>일정 시간 기준 자동
업데이트</t>
  </si>
  <si>
    <t>400*400</t>
  </si>
  <si>
    <t>추천피드</t>
  </si>
  <si>
    <t>로그 분석</t>
  </si>
  <si>
    <t>로그 기반 연령/성별 분석</t>
  </si>
  <si>
    <t>추천 피드 전송</t>
  </si>
  <si>
    <t>2.3.2.2.2.3</t>
  </si>
  <si>
    <t>AWS + Nginx</t>
  </si>
  <si>
    <t>UI/UX 최종수정</t>
  </si>
  <si>
    <t>2.3.1.2.6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</si>
</sst>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85">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38" fillId="19" borderId="21" xfId="1" applyFont="1" applyFill="1" applyBorder="1" applyAlignment="1">
      <alignment horizontal="left" vertical="center" wrapText="1"/>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49" fillId="18"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80" fontId="42" fillId="19" borderId="22" xfId="4" applyNumberFormat="1" applyFont="1" applyFill="1" applyBorder="1" applyAlignment="1" applyProtection="1">
      <alignment horizontal="center" vertical="center"/>
    </xf>
    <xf numFmtId="0" fontId="38" fillId="19" borderId="22" xfId="1" applyFont="1" applyFill="1" applyBorder="1" applyAlignment="1">
      <alignment horizontal="left" vertical="center" wrapText="1"/>
    </xf>
    <xf numFmtId="0" fontId="23" fillId="0" borderId="27"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top" wrapText="1"/>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xdr:row>
      <xdr:rowOff>76073</xdr:rowOff>
    </xdr:from>
    <xdr:to>
      <xdr:col>35</xdr:col>
      <xdr:colOff>0</xdr:colOff>
      <xdr:row>77</xdr:row>
      <xdr:rowOff>152399</xdr:rowOff>
    </xdr:to>
    <xdr:cxnSp macro="">
      <xdr:nvCxnSpPr>
        <xdr:cNvPr id="29042" name="직선 화살표 연결선 29041"/>
        <xdr:cNvCxnSpPr/>
      </xdr:nvCxnSpPr>
      <xdr:spPr>
        <a:xfrm>
          <a:off x="12527280" y="754253"/>
          <a:ext cx="0" cy="1255788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265611</xdr:colOff>
      <xdr:row>3</xdr:row>
      <xdr:rowOff>76073</xdr:rowOff>
    </xdr:from>
    <xdr:to>
      <xdr:col>36</xdr:col>
      <xdr:colOff>265611</xdr:colOff>
      <xdr:row>77</xdr:row>
      <xdr:rowOff>152399</xdr:rowOff>
    </xdr:to>
    <xdr:cxnSp macro="">
      <xdr:nvCxnSpPr>
        <xdr:cNvPr id="29043" name="직선 화살표 연결선 29042"/>
        <xdr:cNvCxnSpPr/>
      </xdr:nvCxnSpPr>
      <xdr:spPr>
        <a:xfrm>
          <a:off x="12068991" y="754253"/>
          <a:ext cx="0" cy="1255788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265612</xdr:colOff>
      <xdr:row>77</xdr:row>
      <xdr:rowOff>19049</xdr:rowOff>
    </xdr:from>
    <xdr:to>
      <xdr:col>35</xdr:col>
      <xdr:colOff>399687</xdr:colOff>
      <xdr:row>77</xdr:row>
      <xdr:rowOff>133349</xdr:rowOff>
    </xdr:to>
    <xdr:sp macro="" textlink="">
      <xdr:nvSpPr>
        <xdr:cNvPr id="29044" name="74"/>
        <xdr:cNvSpPr/>
      </xdr:nvSpPr>
      <xdr:spPr>
        <a:xfrm>
          <a:off x="11604172" y="13178789"/>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265612</xdr:colOff>
      <xdr:row>77</xdr:row>
      <xdr:rowOff>76199</xdr:rowOff>
    </xdr:from>
    <xdr:to>
      <xdr:col>35</xdr:col>
      <xdr:colOff>398417</xdr:colOff>
      <xdr:row>77</xdr:row>
      <xdr:rowOff>76199</xdr:rowOff>
    </xdr:to>
    <xdr:cxnSp macro="">
      <xdr:nvCxnSpPr>
        <xdr:cNvPr id="29045" name="직선 화살표 연결선 29044"/>
        <xdr:cNvCxnSpPr/>
      </xdr:nvCxnSpPr>
      <xdr:spPr>
        <a:xfrm>
          <a:off x="11604172" y="13235939"/>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265612</xdr:colOff>
      <xdr:row>76</xdr:row>
      <xdr:rowOff>19049</xdr:rowOff>
    </xdr:from>
    <xdr:to>
      <xdr:col>35</xdr:col>
      <xdr:colOff>399687</xdr:colOff>
      <xdr:row>76</xdr:row>
      <xdr:rowOff>133349</xdr:rowOff>
    </xdr:to>
    <xdr:sp macro="" textlink="">
      <xdr:nvSpPr>
        <xdr:cNvPr id="29046" name="73"/>
        <xdr:cNvSpPr/>
      </xdr:nvSpPr>
      <xdr:spPr>
        <a:xfrm>
          <a:off x="11604172" y="13026389"/>
          <a:ext cx="1340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265612</xdr:colOff>
      <xdr:row>76</xdr:row>
      <xdr:rowOff>76199</xdr:rowOff>
    </xdr:from>
    <xdr:to>
      <xdr:col>35</xdr:col>
      <xdr:colOff>398417</xdr:colOff>
      <xdr:row>76</xdr:row>
      <xdr:rowOff>76199</xdr:rowOff>
    </xdr:to>
    <xdr:cxnSp macro="">
      <xdr:nvCxnSpPr>
        <xdr:cNvPr id="29047" name="직선 화살표 연결선 29046"/>
        <xdr:cNvCxnSpPr/>
      </xdr:nvCxnSpPr>
      <xdr:spPr>
        <a:xfrm>
          <a:off x="11604172" y="13083539"/>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265612</xdr:colOff>
      <xdr:row>75</xdr:row>
      <xdr:rowOff>19050</xdr:rowOff>
    </xdr:from>
    <xdr:to>
      <xdr:col>35</xdr:col>
      <xdr:colOff>399687</xdr:colOff>
      <xdr:row>75</xdr:row>
      <xdr:rowOff>133350</xdr:rowOff>
    </xdr:to>
    <xdr:sp macro="" textlink="">
      <xdr:nvSpPr>
        <xdr:cNvPr id="29048" name="72"/>
        <xdr:cNvSpPr/>
      </xdr:nvSpPr>
      <xdr:spPr>
        <a:xfrm>
          <a:off x="11604172" y="12873990"/>
          <a:ext cx="1340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265612</xdr:colOff>
      <xdr:row>75</xdr:row>
      <xdr:rowOff>76200</xdr:rowOff>
    </xdr:from>
    <xdr:to>
      <xdr:col>35</xdr:col>
      <xdr:colOff>398417</xdr:colOff>
      <xdr:row>75</xdr:row>
      <xdr:rowOff>76200</xdr:rowOff>
    </xdr:to>
    <xdr:cxnSp macro="">
      <xdr:nvCxnSpPr>
        <xdr:cNvPr id="29049" name="직선 화살표 연결선 29048"/>
        <xdr:cNvCxnSpPr/>
      </xdr:nvCxnSpPr>
      <xdr:spPr>
        <a:xfrm>
          <a:off x="11604172" y="129311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xdr:row>
      <xdr:rowOff>19050</xdr:rowOff>
    </xdr:from>
    <xdr:to>
      <xdr:col>35</xdr:col>
      <xdr:colOff>134075</xdr:colOff>
      <xdr:row>74</xdr:row>
      <xdr:rowOff>133350</xdr:rowOff>
    </xdr:to>
    <xdr:sp macro="" textlink="">
      <xdr:nvSpPr>
        <xdr:cNvPr id="29050" name="71"/>
        <xdr:cNvSpPr/>
      </xdr:nvSpPr>
      <xdr:spPr>
        <a:xfrm>
          <a:off x="11338560" y="127215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74</xdr:row>
      <xdr:rowOff>76200</xdr:rowOff>
    </xdr:from>
    <xdr:to>
      <xdr:col>35</xdr:col>
      <xdr:colOff>132806</xdr:colOff>
      <xdr:row>74</xdr:row>
      <xdr:rowOff>76200</xdr:rowOff>
    </xdr:to>
    <xdr:cxnSp macro="">
      <xdr:nvCxnSpPr>
        <xdr:cNvPr id="29051" name="직선 화살표 연결선 29050"/>
        <xdr:cNvCxnSpPr/>
      </xdr:nvCxnSpPr>
      <xdr:spPr>
        <a:xfrm>
          <a:off x="11338560" y="127787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xdr:row>
      <xdr:rowOff>19050</xdr:rowOff>
    </xdr:from>
    <xdr:to>
      <xdr:col>35</xdr:col>
      <xdr:colOff>134075</xdr:colOff>
      <xdr:row>73</xdr:row>
      <xdr:rowOff>133350</xdr:rowOff>
    </xdr:to>
    <xdr:sp macro="" textlink="">
      <xdr:nvSpPr>
        <xdr:cNvPr id="29052" name="70"/>
        <xdr:cNvSpPr/>
      </xdr:nvSpPr>
      <xdr:spPr>
        <a:xfrm>
          <a:off x="11338560" y="12569190"/>
          <a:ext cx="1340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73</xdr:row>
      <xdr:rowOff>76200</xdr:rowOff>
    </xdr:from>
    <xdr:to>
      <xdr:col>35</xdr:col>
      <xdr:colOff>132806</xdr:colOff>
      <xdr:row>73</xdr:row>
      <xdr:rowOff>76200</xdr:rowOff>
    </xdr:to>
    <xdr:cxnSp macro="">
      <xdr:nvCxnSpPr>
        <xdr:cNvPr id="29053" name="직선 화살표 연결선 29052"/>
        <xdr:cNvCxnSpPr/>
      </xdr:nvCxnSpPr>
      <xdr:spPr>
        <a:xfrm>
          <a:off x="11338560" y="126263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xdr:row>
      <xdr:rowOff>19050</xdr:rowOff>
    </xdr:from>
    <xdr:to>
      <xdr:col>35</xdr:col>
      <xdr:colOff>134075</xdr:colOff>
      <xdr:row>72</xdr:row>
      <xdr:rowOff>133350</xdr:rowOff>
    </xdr:to>
    <xdr:sp macro="" textlink="">
      <xdr:nvSpPr>
        <xdr:cNvPr id="29054" name="69"/>
        <xdr:cNvSpPr/>
      </xdr:nvSpPr>
      <xdr:spPr>
        <a:xfrm>
          <a:off x="11338560" y="12416790"/>
          <a:ext cx="1340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72</xdr:row>
      <xdr:rowOff>76200</xdr:rowOff>
    </xdr:from>
    <xdr:to>
      <xdr:col>35</xdr:col>
      <xdr:colOff>132806</xdr:colOff>
      <xdr:row>72</xdr:row>
      <xdr:rowOff>76200</xdr:rowOff>
    </xdr:to>
    <xdr:cxnSp macro="">
      <xdr:nvCxnSpPr>
        <xdr:cNvPr id="29055" name="직선 화살표 연결선 29054"/>
        <xdr:cNvCxnSpPr/>
      </xdr:nvCxnSpPr>
      <xdr:spPr>
        <a:xfrm>
          <a:off x="11338560" y="124739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332014</xdr:colOff>
      <xdr:row>71</xdr:row>
      <xdr:rowOff>194310</xdr:rowOff>
    </xdr:from>
    <xdr:to>
      <xdr:col>35</xdr:col>
      <xdr:colOff>67672</xdr:colOff>
      <xdr:row>71</xdr:row>
      <xdr:rowOff>308610</xdr:rowOff>
    </xdr:to>
    <xdr:sp macro="" textlink="">
      <xdr:nvSpPr>
        <xdr:cNvPr id="29056" name="68"/>
        <xdr:cNvSpPr/>
      </xdr:nvSpPr>
      <xdr:spPr>
        <a:xfrm>
          <a:off x="11205754" y="12089130"/>
          <a:ext cx="2004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332014</xdr:colOff>
      <xdr:row>71</xdr:row>
      <xdr:rowOff>251460</xdr:rowOff>
    </xdr:from>
    <xdr:to>
      <xdr:col>35</xdr:col>
      <xdr:colOff>66403</xdr:colOff>
      <xdr:row>71</xdr:row>
      <xdr:rowOff>251460</xdr:rowOff>
    </xdr:to>
    <xdr:cxnSp macro="">
      <xdr:nvCxnSpPr>
        <xdr:cNvPr id="29057" name="직선 화살표 연결선 29056"/>
        <xdr:cNvCxnSpPr/>
      </xdr:nvCxnSpPr>
      <xdr:spPr>
        <a:xfrm>
          <a:off x="11205754" y="1214628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265611</xdr:colOff>
      <xdr:row>70</xdr:row>
      <xdr:rowOff>26670</xdr:rowOff>
    </xdr:from>
    <xdr:to>
      <xdr:col>34</xdr:col>
      <xdr:colOff>333284</xdr:colOff>
      <xdr:row>70</xdr:row>
      <xdr:rowOff>140970</xdr:rowOff>
    </xdr:to>
    <xdr:sp macro="" textlink="">
      <xdr:nvSpPr>
        <xdr:cNvPr id="29058" name="67"/>
        <xdr:cNvSpPr/>
      </xdr:nvSpPr>
      <xdr:spPr>
        <a:xfrm>
          <a:off x="11139351" y="11753850"/>
          <a:ext cx="676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265611</xdr:colOff>
      <xdr:row>70</xdr:row>
      <xdr:rowOff>83820</xdr:rowOff>
    </xdr:from>
    <xdr:to>
      <xdr:col>34</xdr:col>
      <xdr:colOff>332014</xdr:colOff>
      <xdr:row>70</xdr:row>
      <xdr:rowOff>83820</xdr:rowOff>
    </xdr:to>
    <xdr:cxnSp macro="">
      <xdr:nvCxnSpPr>
        <xdr:cNvPr id="29059" name="직선 화살표 연결선 29058"/>
        <xdr:cNvCxnSpPr/>
      </xdr:nvCxnSpPr>
      <xdr:spPr>
        <a:xfrm>
          <a:off x="11139351" y="11811000"/>
          <a:ext cx="664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199209</xdr:colOff>
      <xdr:row>69</xdr:row>
      <xdr:rowOff>110490</xdr:rowOff>
    </xdr:from>
    <xdr:to>
      <xdr:col>34</xdr:col>
      <xdr:colOff>333284</xdr:colOff>
      <xdr:row>69</xdr:row>
      <xdr:rowOff>224790</xdr:rowOff>
    </xdr:to>
    <xdr:sp macro="" textlink="">
      <xdr:nvSpPr>
        <xdr:cNvPr id="29060" name="66"/>
        <xdr:cNvSpPr/>
      </xdr:nvSpPr>
      <xdr:spPr>
        <a:xfrm>
          <a:off x="11072949" y="115023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199209</xdr:colOff>
      <xdr:row>69</xdr:row>
      <xdr:rowOff>167640</xdr:rowOff>
    </xdr:from>
    <xdr:to>
      <xdr:col>34</xdr:col>
      <xdr:colOff>332014</xdr:colOff>
      <xdr:row>69</xdr:row>
      <xdr:rowOff>167640</xdr:rowOff>
    </xdr:to>
    <xdr:cxnSp macro="">
      <xdr:nvCxnSpPr>
        <xdr:cNvPr id="29061" name="직선 화살표 연결선 29060"/>
        <xdr:cNvCxnSpPr/>
      </xdr:nvCxnSpPr>
      <xdr:spPr>
        <a:xfrm>
          <a:off x="11072949" y="115595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132806</xdr:colOff>
      <xdr:row>68</xdr:row>
      <xdr:rowOff>194310</xdr:rowOff>
    </xdr:from>
    <xdr:to>
      <xdr:col>34</xdr:col>
      <xdr:colOff>266881</xdr:colOff>
      <xdr:row>68</xdr:row>
      <xdr:rowOff>308610</xdr:rowOff>
    </xdr:to>
    <xdr:sp macro="" textlink="">
      <xdr:nvSpPr>
        <xdr:cNvPr id="29062" name="65"/>
        <xdr:cNvSpPr/>
      </xdr:nvSpPr>
      <xdr:spPr>
        <a:xfrm>
          <a:off x="11006546" y="110832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132806</xdr:colOff>
      <xdr:row>68</xdr:row>
      <xdr:rowOff>251460</xdr:rowOff>
    </xdr:from>
    <xdr:to>
      <xdr:col>34</xdr:col>
      <xdr:colOff>265611</xdr:colOff>
      <xdr:row>68</xdr:row>
      <xdr:rowOff>251460</xdr:rowOff>
    </xdr:to>
    <xdr:cxnSp macro="">
      <xdr:nvCxnSpPr>
        <xdr:cNvPr id="29063" name="직선 화살표 연결선 29062"/>
        <xdr:cNvCxnSpPr/>
      </xdr:nvCxnSpPr>
      <xdr:spPr>
        <a:xfrm>
          <a:off x="11006546" y="111404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132806</xdr:colOff>
      <xdr:row>67</xdr:row>
      <xdr:rowOff>26670</xdr:rowOff>
    </xdr:from>
    <xdr:to>
      <xdr:col>34</xdr:col>
      <xdr:colOff>333284</xdr:colOff>
      <xdr:row>67</xdr:row>
      <xdr:rowOff>140970</xdr:rowOff>
    </xdr:to>
    <xdr:sp macro="" textlink="">
      <xdr:nvSpPr>
        <xdr:cNvPr id="29064" name="64"/>
        <xdr:cNvSpPr/>
      </xdr:nvSpPr>
      <xdr:spPr>
        <a:xfrm>
          <a:off x="11006546" y="10748010"/>
          <a:ext cx="2004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132806</xdr:colOff>
      <xdr:row>67</xdr:row>
      <xdr:rowOff>83820</xdr:rowOff>
    </xdr:from>
    <xdr:to>
      <xdr:col>34</xdr:col>
      <xdr:colOff>332014</xdr:colOff>
      <xdr:row>67</xdr:row>
      <xdr:rowOff>83820</xdr:rowOff>
    </xdr:to>
    <xdr:cxnSp macro="">
      <xdr:nvCxnSpPr>
        <xdr:cNvPr id="29065" name="직선 화살표 연결선 29064"/>
        <xdr:cNvCxnSpPr/>
      </xdr:nvCxnSpPr>
      <xdr:spPr>
        <a:xfrm>
          <a:off x="11006546" y="1080516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66</xdr:row>
      <xdr:rowOff>19050</xdr:rowOff>
    </xdr:from>
    <xdr:to>
      <xdr:col>34</xdr:col>
      <xdr:colOff>200479</xdr:colOff>
      <xdr:row>66</xdr:row>
      <xdr:rowOff>133350</xdr:rowOff>
    </xdr:to>
    <xdr:sp macro="" textlink="">
      <xdr:nvSpPr>
        <xdr:cNvPr id="29066" name="63"/>
        <xdr:cNvSpPr/>
      </xdr:nvSpPr>
      <xdr:spPr>
        <a:xfrm>
          <a:off x="10873740" y="1058799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66</xdr:row>
      <xdr:rowOff>76200</xdr:rowOff>
    </xdr:from>
    <xdr:to>
      <xdr:col>34</xdr:col>
      <xdr:colOff>199209</xdr:colOff>
      <xdr:row>66</xdr:row>
      <xdr:rowOff>76200</xdr:rowOff>
    </xdr:to>
    <xdr:cxnSp macro="">
      <xdr:nvCxnSpPr>
        <xdr:cNvPr id="29067" name="직선 화살표 연결선 29066"/>
        <xdr:cNvCxnSpPr/>
      </xdr:nvCxnSpPr>
      <xdr:spPr>
        <a:xfrm>
          <a:off x="10873740" y="1064514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398417</xdr:colOff>
      <xdr:row>65</xdr:row>
      <xdr:rowOff>19050</xdr:rowOff>
    </xdr:from>
    <xdr:to>
      <xdr:col>34</xdr:col>
      <xdr:colOff>134076</xdr:colOff>
      <xdr:row>65</xdr:row>
      <xdr:rowOff>133350</xdr:rowOff>
    </xdr:to>
    <xdr:sp macro="" textlink="">
      <xdr:nvSpPr>
        <xdr:cNvPr id="29068" name="62"/>
        <xdr:cNvSpPr/>
      </xdr:nvSpPr>
      <xdr:spPr>
        <a:xfrm>
          <a:off x="10807337" y="1043559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398417</xdr:colOff>
      <xdr:row>65</xdr:row>
      <xdr:rowOff>76200</xdr:rowOff>
    </xdr:from>
    <xdr:to>
      <xdr:col>34</xdr:col>
      <xdr:colOff>132806</xdr:colOff>
      <xdr:row>65</xdr:row>
      <xdr:rowOff>76200</xdr:rowOff>
    </xdr:to>
    <xdr:cxnSp macro="">
      <xdr:nvCxnSpPr>
        <xdr:cNvPr id="29069" name="직선 화살표 연결선 29068"/>
        <xdr:cNvCxnSpPr/>
      </xdr:nvCxnSpPr>
      <xdr:spPr>
        <a:xfrm>
          <a:off x="10807337" y="1049274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398417</xdr:colOff>
      <xdr:row>64</xdr:row>
      <xdr:rowOff>19050</xdr:rowOff>
    </xdr:from>
    <xdr:to>
      <xdr:col>34</xdr:col>
      <xdr:colOff>200479</xdr:colOff>
      <xdr:row>64</xdr:row>
      <xdr:rowOff>133350</xdr:rowOff>
    </xdr:to>
    <xdr:sp macro="" textlink="">
      <xdr:nvSpPr>
        <xdr:cNvPr id="29070" name="61"/>
        <xdr:cNvSpPr/>
      </xdr:nvSpPr>
      <xdr:spPr>
        <a:xfrm>
          <a:off x="10807337" y="10283190"/>
          <a:ext cx="2668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398417</xdr:colOff>
      <xdr:row>64</xdr:row>
      <xdr:rowOff>76200</xdr:rowOff>
    </xdr:from>
    <xdr:to>
      <xdr:col>34</xdr:col>
      <xdr:colOff>199209</xdr:colOff>
      <xdr:row>64</xdr:row>
      <xdr:rowOff>76200</xdr:rowOff>
    </xdr:to>
    <xdr:cxnSp macro="">
      <xdr:nvCxnSpPr>
        <xdr:cNvPr id="29071" name="직선 화살표 연결선 29070"/>
        <xdr:cNvCxnSpPr/>
      </xdr:nvCxnSpPr>
      <xdr:spPr>
        <a:xfrm>
          <a:off x="10807337" y="10340340"/>
          <a:ext cx="265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398417</xdr:colOff>
      <xdr:row>63</xdr:row>
      <xdr:rowOff>19050</xdr:rowOff>
    </xdr:from>
    <xdr:to>
      <xdr:col>35</xdr:col>
      <xdr:colOff>134075</xdr:colOff>
      <xdr:row>63</xdr:row>
      <xdr:rowOff>133350</xdr:rowOff>
    </xdr:to>
    <xdr:sp macro="" textlink="">
      <xdr:nvSpPr>
        <xdr:cNvPr id="29072" name="60"/>
        <xdr:cNvSpPr/>
      </xdr:nvSpPr>
      <xdr:spPr>
        <a:xfrm>
          <a:off x="10807337" y="10130790"/>
          <a:ext cx="6652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398417</xdr:colOff>
      <xdr:row>63</xdr:row>
      <xdr:rowOff>76200</xdr:rowOff>
    </xdr:from>
    <xdr:to>
      <xdr:col>35</xdr:col>
      <xdr:colOff>132806</xdr:colOff>
      <xdr:row>63</xdr:row>
      <xdr:rowOff>76200</xdr:rowOff>
    </xdr:to>
    <xdr:cxnSp macro="">
      <xdr:nvCxnSpPr>
        <xdr:cNvPr id="29073" name="직선 화살표 연결선 29072"/>
        <xdr:cNvCxnSpPr/>
      </xdr:nvCxnSpPr>
      <xdr:spPr>
        <a:xfrm>
          <a:off x="10807337" y="10187940"/>
          <a:ext cx="6640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132806</xdr:colOff>
      <xdr:row>62</xdr:row>
      <xdr:rowOff>19050</xdr:rowOff>
    </xdr:from>
    <xdr:to>
      <xdr:col>33</xdr:col>
      <xdr:colOff>266881</xdr:colOff>
      <xdr:row>62</xdr:row>
      <xdr:rowOff>133350</xdr:rowOff>
    </xdr:to>
    <xdr:sp macro="" textlink="">
      <xdr:nvSpPr>
        <xdr:cNvPr id="29074" name="59"/>
        <xdr:cNvSpPr/>
      </xdr:nvSpPr>
      <xdr:spPr>
        <a:xfrm>
          <a:off x="10541726" y="99783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132806</xdr:colOff>
      <xdr:row>62</xdr:row>
      <xdr:rowOff>76200</xdr:rowOff>
    </xdr:from>
    <xdr:to>
      <xdr:col>33</xdr:col>
      <xdr:colOff>265611</xdr:colOff>
      <xdr:row>62</xdr:row>
      <xdr:rowOff>76200</xdr:rowOff>
    </xdr:to>
    <xdr:cxnSp macro="">
      <xdr:nvCxnSpPr>
        <xdr:cNvPr id="29075" name="직선 화살표 연결선 29074"/>
        <xdr:cNvCxnSpPr/>
      </xdr:nvCxnSpPr>
      <xdr:spPr>
        <a:xfrm>
          <a:off x="10541726" y="100355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132806</xdr:colOff>
      <xdr:row>61</xdr:row>
      <xdr:rowOff>19050</xdr:rowOff>
    </xdr:from>
    <xdr:to>
      <xdr:col>33</xdr:col>
      <xdr:colOff>266881</xdr:colOff>
      <xdr:row>61</xdr:row>
      <xdr:rowOff>133350</xdr:rowOff>
    </xdr:to>
    <xdr:sp macro="" textlink="">
      <xdr:nvSpPr>
        <xdr:cNvPr id="29076" name="58"/>
        <xdr:cNvSpPr/>
      </xdr:nvSpPr>
      <xdr:spPr>
        <a:xfrm>
          <a:off x="10541726" y="98259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132806</xdr:colOff>
      <xdr:row>61</xdr:row>
      <xdr:rowOff>76200</xdr:rowOff>
    </xdr:from>
    <xdr:to>
      <xdr:col>33</xdr:col>
      <xdr:colOff>265611</xdr:colOff>
      <xdr:row>61</xdr:row>
      <xdr:rowOff>76200</xdr:rowOff>
    </xdr:to>
    <xdr:cxnSp macro="">
      <xdr:nvCxnSpPr>
        <xdr:cNvPr id="29077" name="직선 화살표 연결선 29076"/>
        <xdr:cNvCxnSpPr/>
      </xdr:nvCxnSpPr>
      <xdr:spPr>
        <a:xfrm>
          <a:off x="10541726" y="98831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66403</xdr:colOff>
      <xdr:row>60</xdr:row>
      <xdr:rowOff>19050</xdr:rowOff>
    </xdr:from>
    <xdr:to>
      <xdr:col>33</xdr:col>
      <xdr:colOff>200478</xdr:colOff>
      <xdr:row>60</xdr:row>
      <xdr:rowOff>133350</xdr:rowOff>
    </xdr:to>
    <xdr:sp macro="" textlink="">
      <xdr:nvSpPr>
        <xdr:cNvPr id="29078" name="57"/>
        <xdr:cNvSpPr/>
      </xdr:nvSpPr>
      <xdr:spPr>
        <a:xfrm>
          <a:off x="10475323" y="96735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66403</xdr:colOff>
      <xdr:row>60</xdr:row>
      <xdr:rowOff>76200</xdr:rowOff>
    </xdr:from>
    <xdr:to>
      <xdr:col>33</xdr:col>
      <xdr:colOff>199208</xdr:colOff>
      <xdr:row>60</xdr:row>
      <xdr:rowOff>76200</xdr:rowOff>
    </xdr:to>
    <xdr:cxnSp macro="">
      <xdr:nvCxnSpPr>
        <xdr:cNvPr id="29079" name="직선 화살표 연결선 29078"/>
        <xdr:cNvCxnSpPr/>
      </xdr:nvCxnSpPr>
      <xdr:spPr>
        <a:xfrm>
          <a:off x="10475323" y="973074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59</xdr:row>
      <xdr:rowOff>19050</xdr:rowOff>
    </xdr:from>
    <xdr:to>
      <xdr:col>33</xdr:col>
      <xdr:colOff>134075</xdr:colOff>
      <xdr:row>59</xdr:row>
      <xdr:rowOff>133350</xdr:rowOff>
    </xdr:to>
    <xdr:sp macro="" textlink="">
      <xdr:nvSpPr>
        <xdr:cNvPr id="29080" name="56"/>
        <xdr:cNvSpPr/>
      </xdr:nvSpPr>
      <xdr:spPr>
        <a:xfrm>
          <a:off x="10408920" y="95211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59</xdr:row>
      <xdr:rowOff>76200</xdr:rowOff>
    </xdr:from>
    <xdr:to>
      <xdr:col>33</xdr:col>
      <xdr:colOff>132806</xdr:colOff>
      <xdr:row>59</xdr:row>
      <xdr:rowOff>76200</xdr:rowOff>
    </xdr:to>
    <xdr:cxnSp macro="">
      <xdr:nvCxnSpPr>
        <xdr:cNvPr id="29081" name="직선 화살표 연결선 29080"/>
        <xdr:cNvCxnSpPr/>
      </xdr:nvCxnSpPr>
      <xdr:spPr>
        <a:xfrm>
          <a:off x="10408920" y="95783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58</xdr:row>
      <xdr:rowOff>19050</xdr:rowOff>
    </xdr:from>
    <xdr:to>
      <xdr:col>33</xdr:col>
      <xdr:colOff>134075</xdr:colOff>
      <xdr:row>58</xdr:row>
      <xdr:rowOff>133350</xdr:rowOff>
    </xdr:to>
    <xdr:sp macro="" textlink="">
      <xdr:nvSpPr>
        <xdr:cNvPr id="29082" name="55"/>
        <xdr:cNvSpPr/>
      </xdr:nvSpPr>
      <xdr:spPr>
        <a:xfrm>
          <a:off x="10408920" y="93687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58</xdr:row>
      <xdr:rowOff>76200</xdr:rowOff>
    </xdr:from>
    <xdr:to>
      <xdr:col>33</xdr:col>
      <xdr:colOff>132806</xdr:colOff>
      <xdr:row>58</xdr:row>
      <xdr:rowOff>76200</xdr:rowOff>
    </xdr:to>
    <xdr:cxnSp macro="">
      <xdr:nvCxnSpPr>
        <xdr:cNvPr id="29083" name="직선 화살표 연결선 29082"/>
        <xdr:cNvCxnSpPr/>
      </xdr:nvCxnSpPr>
      <xdr:spPr>
        <a:xfrm>
          <a:off x="10408920" y="94259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398417</xdr:colOff>
      <xdr:row>57</xdr:row>
      <xdr:rowOff>19050</xdr:rowOff>
    </xdr:from>
    <xdr:to>
      <xdr:col>33</xdr:col>
      <xdr:colOff>67672</xdr:colOff>
      <xdr:row>57</xdr:row>
      <xdr:rowOff>133350</xdr:rowOff>
    </xdr:to>
    <xdr:sp macro="" textlink="">
      <xdr:nvSpPr>
        <xdr:cNvPr id="29084" name="54"/>
        <xdr:cNvSpPr/>
      </xdr:nvSpPr>
      <xdr:spPr>
        <a:xfrm>
          <a:off x="10342517" y="921639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398417</xdr:colOff>
      <xdr:row>57</xdr:row>
      <xdr:rowOff>76200</xdr:rowOff>
    </xdr:from>
    <xdr:to>
      <xdr:col>33</xdr:col>
      <xdr:colOff>66403</xdr:colOff>
      <xdr:row>57</xdr:row>
      <xdr:rowOff>76200</xdr:rowOff>
    </xdr:to>
    <xdr:cxnSp macro="">
      <xdr:nvCxnSpPr>
        <xdr:cNvPr id="29085" name="직선 화살표 연결선 29084"/>
        <xdr:cNvCxnSpPr/>
      </xdr:nvCxnSpPr>
      <xdr:spPr>
        <a:xfrm>
          <a:off x="10342517" y="927354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398417</xdr:colOff>
      <xdr:row>56</xdr:row>
      <xdr:rowOff>19050</xdr:rowOff>
    </xdr:from>
    <xdr:to>
      <xdr:col>33</xdr:col>
      <xdr:colOff>134075</xdr:colOff>
      <xdr:row>56</xdr:row>
      <xdr:rowOff>133350</xdr:rowOff>
    </xdr:to>
    <xdr:sp macro="" textlink="">
      <xdr:nvSpPr>
        <xdr:cNvPr id="29086" name="53"/>
        <xdr:cNvSpPr/>
      </xdr:nvSpPr>
      <xdr:spPr>
        <a:xfrm>
          <a:off x="10342517" y="9063990"/>
          <a:ext cx="2004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398417</xdr:colOff>
      <xdr:row>56</xdr:row>
      <xdr:rowOff>76200</xdr:rowOff>
    </xdr:from>
    <xdr:to>
      <xdr:col>33</xdr:col>
      <xdr:colOff>132806</xdr:colOff>
      <xdr:row>56</xdr:row>
      <xdr:rowOff>76200</xdr:rowOff>
    </xdr:to>
    <xdr:cxnSp macro="">
      <xdr:nvCxnSpPr>
        <xdr:cNvPr id="29087" name="직선 화살표 연결선 29086"/>
        <xdr:cNvCxnSpPr/>
      </xdr:nvCxnSpPr>
      <xdr:spPr>
        <a:xfrm>
          <a:off x="10342517" y="912114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332015</xdr:colOff>
      <xdr:row>55</xdr:row>
      <xdr:rowOff>19050</xdr:rowOff>
    </xdr:from>
    <xdr:to>
      <xdr:col>32</xdr:col>
      <xdr:colOff>399686</xdr:colOff>
      <xdr:row>55</xdr:row>
      <xdr:rowOff>133350</xdr:rowOff>
    </xdr:to>
    <xdr:sp macro="" textlink="">
      <xdr:nvSpPr>
        <xdr:cNvPr id="29088" name="52"/>
        <xdr:cNvSpPr/>
      </xdr:nvSpPr>
      <xdr:spPr>
        <a:xfrm>
          <a:off x="10276115" y="8911590"/>
          <a:ext cx="676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332015</xdr:colOff>
      <xdr:row>55</xdr:row>
      <xdr:rowOff>76200</xdr:rowOff>
    </xdr:from>
    <xdr:to>
      <xdr:col>32</xdr:col>
      <xdr:colOff>398417</xdr:colOff>
      <xdr:row>55</xdr:row>
      <xdr:rowOff>76200</xdr:rowOff>
    </xdr:to>
    <xdr:cxnSp macro="">
      <xdr:nvCxnSpPr>
        <xdr:cNvPr id="29089" name="직선 화살표 연결선 29088"/>
        <xdr:cNvCxnSpPr/>
      </xdr:nvCxnSpPr>
      <xdr:spPr>
        <a:xfrm>
          <a:off x="10276115" y="8968740"/>
          <a:ext cx="664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199208</xdr:colOff>
      <xdr:row>54</xdr:row>
      <xdr:rowOff>19050</xdr:rowOff>
    </xdr:from>
    <xdr:to>
      <xdr:col>33</xdr:col>
      <xdr:colOff>399687</xdr:colOff>
      <xdr:row>54</xdr:row>
      <xdr:rowOff>133350</xdr:rowOff>
    </xdr:to>
    <xdr:sp macro="" textlink="">
      <xdr:nvSpPr>
        <xdr:cNvPr id="29090" name="51"/>
        <xdr:cNvSpPr/>
      </xdr:nvSpPr>
      <xdr:spPr>
        <a:xfrm>
          <a:off x="10608128" y="875919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199208</xdr:colOff>
      <xdr:row>54</xdr:row>
      <xdr:rowOff>76200</xdr:rowOff>
    </xdr:from>
    <xdr:to>
      <xdr:col>33</xdr:col>
      <xdr:colOff>398417</xdr:colOff>
      <xdr:row>54</xdr:row>
      <xdr:rowOff>76200</xdr:rowOff>
    </xdr:to>
    <xdr:cxnSp macro="">
      <xdr:nvCxnSpPr>
        <xdr:cNvPr id="29091" name="직선 화살표 연결선 29090"/>
        <xdr:cNvCxnSpPr/>
      </xdr:nvCxnSpPr>
      <xdr:spPr>
        <a:xfrm>
          <a:off x="10608128" y="881634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53</xdr:row>
      <xdr:rowOff>194310</xdr:rowOff>
    </xdr:from>
    <xdr:to>
      <xdr:col>32</xdr:col>
      <xdr:colOff>399686</xdr:colOff>
      <xdr:row>53</xdr:row>
      <xdr:rowOff>308610</xdr:rowOff>
    </xdr:to>
    <xdr:sp macro="" textlink="">
      <xdr:nvSpPr>
        <xdr:cNvPr id="29092" name="50"/>
        <xdr:cNvSpPr/>
      </xdr:nvSpPr>
      <xdr:spPr>
        <a:xfrm>
          <a:off x="10010503" y="8431530"/>
          <a:ext cx="3332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53</xdr:row>
      <xdr:rowOff>251460</xdr:rowOff>
    </xdr:from>
    <xdr:to>
      <xdr:col>32</xdr:col>
      <xdr:colOff>398417</xdr:colOff>
      <xdr:row>53</xdr:row>
      <xdr:rowOff>251460</xdr:rowOff>
    </xdr:to>
    <xdr:cxnSp macro="">
      <xdr:nvCxnSpPr>
        <xdr:cNvPr id="29093" name="직선 화살표 연결선 29092"/>
        <xdr:cNvCxnSpPr/>
      </xdr:nvCxnSpPr>
      <xdr:spPr>
        <a:xfrm>
          <a:off x="10010503" y="8488680"/>
          <a:ext cx="3320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52</xdr:row>
      <xdr:rowOff>19050</xdr:rowOff>
    </xdr:from>
    <xdr:to>
      <xdr:col>33</xdr:col>
      <xdr:colOff>399687</xdr:colOff>
      <xdr:row>52</xdr:row>
      <xdr:rowOff>133350</xdr:rowOff>
    </xdr:to>
    <xdr:sp macro="" textlink="">
      <xdr:nvSpPr>
        <xdr:cNvPr id="29094" name="49"/>
        <xdr:cNvSpPr/>
      </xdr:nvSpPr>
      <xdr:spPr>
        <a:xfrm>
          <a:off x="10010503" y="8103870"/>
          <a:ext cx="7981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52</xdr:row>
      <xdr:rowOff>76200</xdr:rowOff>
    </xdr:from>
    <xdr:to>
      <xdr:col>33</xdr:col>
      <xdr:colOff>398417</xdr:colOff>
      <xdr:row>52</xdr:row>
      <xdr:rowOff>76200</xdr:rowOff>
    </xdr:to>
    <xdr:cxnSp macro="">
      <xdr:nvCxnSpPr>
        <xdr:cNvPr id="29095" name="직선 화살표 연결선 29094"/>
        <xdr:cNvCxnSpPr/>
      </xdr:nvCxnSpPr>
      <xdr:spPr>
        <a:xfrm>
          <a:off x="10010503" y="816102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51</xdr:row>
      <xdr:rowOff>19050</xdr:rowOff>
    </xdr:from>
    <xdr:to>
      <xdr:col>33</xdr:col>
      <xdr:colOff>399687</xdr:colOff>
      <xdr:row>51</xdr:row>
      <xdr:rowOff>133350</xdr:rowOff>
    </xdr:to>
    <xdr:sp macro="" textlink="">
      <xdr:nvSpPr>
        <xdr:cNvPr id="29096" name="0"/>
        <xdr:cNvSpPr/>
      </xdr:nvSpPr>
      <xdr:spPr>
        <a:xfrm>
          <a:off x="10010503" y="7951470"/>
          <a:ext cx="7981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51</xdr:row>
      <xdr:rowOff>76200</xdr:rowOff>
    </xdr:from>
    <xdr:to>
      <xdr:col>33</xdr:col>
      <xdr:colOff>398417</xdr:colOff>
      <xdr:row>51</xdr:row>
      <xdr:rowOff>76200</xdr:rowOff>
    </xdr:to>
    <xdr:cxnSp macro="">
      <xdr:nvCxnSpPr>
        <xdr:cNvPr id="29097" name="직선 화살표 연결선 29096"/>
        <xdr:cNvCxnSpPr/>
      </xdr:nvCxnSpPr>
      <xdr:spPr>
        <a:xfrm>
          <a:off x="10010503" y="800862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50</xdr:row>
      <xdr:rowOff>19050</xdr:rowOff>
    </xdr:from>
    <xdr:to>
      <xdr:col>35</xdr:col>
      <xdr:colOff>134075</xdr:colOff>
      <xdr:row>50</xdr:row>
      <xdr:rowOff>133350</xdr:rowOff>
    </xdr:to>
    <xdr:sp macro="" textlink="">
      <xdr:nvSpPr>
        <xdr:cNvPr id="29098" name="47"/>
        <xdr:cNvSpPr/>
      </xdr:nvSpPr>
      <xdr:spPr>
        <a:xfrm>
          <a:off x="10010503" y="7799070"/>
          <a:ext cx="14621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50</xdr:row>
      <xdr:rowOff>76200</xdr:rowOff>
    </xdr:from>
    <xdr:to>
      <xdr:col>35</xdr:col>
      <xdr:colOff>132806</xdr:colOff>
      <xdr:row>50</xdr:row>
      <xdr:rowOff>76200</xdr:rowOff>
    </xdr:to>
    <xdr:cxnSp macro="">
      <xdr:nvCxnSpPr>
        <xdr:cNvPr id="29099" name="직선 화살표 연결선 29098"/>
        <xdr:cNvCxnSpPr/>
      </xdr:nvCxnSpPr>
      <xdr:spPr>
        <a:xfrm>
          <a:off x="10010503" y="7856220"/>
          <a:ext cx="14608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132806</xdr:colOff>
      <xdr:row>49</xdr:row>
      <xdr:rowOff>22860</xdr:rowOff>
    </xdr:from>
    <xdr:to>
      <xdr:col>35</xdr:col>
      <xdr:colOff>399687</xdr:colOff>
      <xdr:row>49</xdr:row>
      <xdr:rowOff>137160</xdr:rowOff>
    </xdr:to>
    <xdr:sp macro="" textlink="">
      <xdr:nvSpPr>
        <xdr:cNvPr id="29100" name="46"/>
        <xdr:cNvSpPr/>
      </xdr:nvSpPr>
      <xdr:spPr>
        <a:xfrm>
          <a:off x="11471366" y="7642860"/>
          <a:ext cx="266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132806</xdr:colOff>
      <xdr:row>49</xdr:row>
      <xdr:rowOff>80010</xdr:rowOff>
    </xdr:from>
    <xdr:to>
      <xdr:col>35</xdr:col>
      <xdr:colOff>398417</xdr:colOff>
      <xdr:row>49</xdr:row>
      <xdr:rowOff>80010</xdr:rowOff>
    </xdr:to>
    <xdr:cxnSp macro="">
      <xdr:nvCxnSpPr>
        <xdr:cNvPr id="29101" name="직선 화살표 연결선 29100"/>
        <xdr:cNvCxnSpPr/>
      </xdr:nvCxnSpPr>
      <xdr:spPr>
        <a:xfrm>
          <a:off x="11471366" y="7700010"/>
          <a:ext cx="2656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398417</xdr:colOff>
      <xdr:row>48</xdr:row>
      <xdr:rowOff>22860</xdr:rowOff>
    </xdr:from>
    <xdr:to>
      <xdr:col>35</xdr:col>
      <xdr:colOff>200478</xdr:colOff>
      <xdr:row>48</xdr:row>
      <xdr:rowOff>137160</xdr:rowOff>
    </xdr:to>
    <xdr:sp macro="" textlink="">
      <xdr:nvSpPr>
        <xdr:cNvPr id="29102" name="45"/>
        <xdr:cNvSpPr/>
      </xdr:nvSpPr>
      <xdr:spPr>
        <a:xfrm>
          <a:off x="11272157" y="7482840"/>
          <a:ext cx="266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398417</xdr:colOff>
      <xdr:row>48</xdr:row>
      <xdr:rowOff>80010</xdr:rowOff>
    </xdr:from>
    <xdr:to>
      <xdr:col>35</xdr:col>
      <xdr:colOff>199209</xdr:colOff>
      <xdr:row>48</xdr:row>
      <xdr:rowOff>80010</xdr:rowOff>
    </xdr:to>
    <xdr:cxnSp macro="">
      <xdr:nvCxnSpPr>
        <xdr:cNvPr id="29103" name="직선 화살표 연결선 29102"/>
        <xdr:cNvCxnSpPr/>
      </xdr:nvCxnSpPr>
      <xdr:spPr>
        <a:xfrm>
          <a:off x="11272157" y="7539990"/>
          <a:ext cx="265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132806</xdr:colOff>
      <xdr:row>47</xdr:row>
      <xdr:rowOff>19050</xdr:rowOff>
    </xdr:from>
    <xdr:to>
      <xdr:col>35</xdr:col>
      <xdr:colOff>399687</xdr:colOff>
      <xdr:row>47</xdr:row>
      <xdr:rowOff>133350</xdr:rowOff>
    </xdr:to>
    <xdr:sp macro="" textlink="">
      <xdr:nvSpPr>
        <xdr:cNvPr id="29104" name="44"/>
        <xdr:cNvSpPr/>
      </xdr:nvSpPr>
      <xdr:spPr>
        <a:xfrm>
          <a:off x="11471366" y="7326630"/>
          <a:ext cx="266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132806</xdr:colOff>
      <xdr:row>47</xdr:row>
      <xdr:rowOff>76200</xdr:rowOff>
    </xdr:from>
    <xdr:to>
      <xdr:col>35</xdr:col>
      <xdr:colOff>398417</xdr:colOff>
      <xdr:row>47</xdr:row>
      <xdr:rowOff>76200</xdr:rowOff>
    </xdr:to>
    <xdr:cxnSp macro="">
      <xdr:nvCxnSpPr>
        <xdr:cNvPr id="29105" name="직선 화살표 연결선 29104"/>
        <xdr:cNvCxnSpPr/>
      </xdr:nvCxnSpPr>
      <xdr:spPr>
        <a:xfrm>
          <a:off x="11471366" y="7383780"/>
          <a:ext cx="2656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199209</xdr:colOff>
      <xdr:row>46</xdr:row>
      <xdr:rowOff>19050</xdr:rowOff>
    </xdr:from>
    <xdr:to>
      <xdr:col>35</xdr:col>
      <xdr:colOff>200478</xdr:colOff>
      <xdr:row>46</xdr:row>
      <xdr:rowOff>133350</xdr:rowOff>
    </xdr:to>
    <xdr:sp macro="" textlink="">
      <xdr:nvSpPr>
        <xdr:cNvPr id="29106" name="43"/>
        <xdr:cNvSpPr/>
      </xdr:nvSpPr>
      <xdr:spPr>
        <a:xfrm>
          <a:off x="11072949" y="7174230"/>
          <a:ext cx="4660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199209</xdr:colOff>
      <xdr:row>46</xdr:row>
      <xdr:rowOff>76200</xdr:rowOff>
    </xdr:from>
    <xdr:to>
      <xdr:col>35</xdr:col>
      <xdr:colOff>199209</xdr:colOff>
      <xdr:row>46</xdr:row>
      <xdr:rowOff>76200</xdr:rowOff>
    </xdr:to>
    <xdr:cxnSp macro="">
      <xdr:nvCxnSpPr>
        <xdr:cNvPr id="29107" name="직선 화살표 연결선 29106"/>
        <xdr:cNvCxnSpPr/>
      </xdr:nvCxnSpPr>
      <xdr:spPr>
        <a:xfrm>
          <a:off x="11072949" y="7231380"/>
          <a:ext cx="4648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199209</xdr:colOff>
      <xdr:row>45</xdr:row>
      <xdr:rowOff>19050</xdr:rowOff>
    </xdr:from>
    <xdr:to>
      <xdr:col>35</xdr:col>
      <xdr:colOff>1270</xdr:colOff>
      <xdr:row>45</xdr:row>
      <xdr:rowOff>133350</xdr:rowOff>
    </xdr:to>
    <xdr:sp macro="" textlink="">
      <xdr:nvSpPr>
        <xdr:cNvPr id="29108" name="42"/>
        <xdr:cNvSpPr/>
      </xdr:nvSpPr>
      <xdr:spPr>
        <a:xfrm>
          <a:off x="11072949" y="7021830"/>
          <a:ext cx="266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199209</xdr:colOff>
      <xdr:row>45</xdr:row>
      <xdr:rowOff>76200</xdr:rowOff>
    </xdr:from>
    <xdr:to>
      <xdr:col>35</xdr:col>
      <xdr:colOff>0</xdr:colOff>
      <xdr:row>45</xdr:row>
      <xdr:rowOff>76200</xdr:rowOff>
    </xdr:to>
    <xdr:cxnSp macro="">
      <xdr:nvCxnSpPr>
        <xdr:cNvPr id="29109" name="직선 화살표 연결선 29108"/>
        <xdr:cNvCxnSpPr/>
      </xdr:nvCxnSpPr>
      <xdr:spPr>
        <a:xfrm>
          <a:off x="11072949" y="7078980"/>
          <a:ext cx="2656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199209</xdr:colOff>
      <xdr:row>44</xdr:row>
      <xdr:rowOff>19050</xdr:rowOff>
    </xdr:from>
    <xdr:to>
      <xdr:col>35</xdr:col>
      <xdr:colOff>200478</xdr:colOff>
      <xdr:row>44</xdr:row>
      <xdr:rowOff>133350</xdr:rowOff>
    </xdr:to>
    <xdr:sp macro="" textlink="">
      <xdr:nvSpPr>
        <xdr:cNvPr id="29110" name="41"/>
        <xdr:cNvSpPr/>
      </xdr:nvSpPr>
      <xdr:spPr>
        <a:xfrm>
          <a:off x="11072949" y="6869430"/>
          <a:ext cx="4660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199209</xdr:colOff>
      <xdr:row>44</xdr:row>
      <xdr:rowOff>76200</xdr:rowOff>
    </xdr:from>
    <xdr:to>
      <xdr:col>35</xdr:col>
      <xdr:colOff>199209</xdr:colOff>
      <xdr:row>44</xdr:row>
      <xdr:rowOff>76200</xdr:rowOff>
    </xdr:to>
    <xdr:cxnSp macro="">
      <xdr:nvCxnSpPr>
        <xdr:cNvPr id="29111" name="직선 화살표 연결선 29110"/>
        <xdr:cNvCxnSpPr/>
      </xdr:nvCxnSpPr>
      <xdr:spPr>
        <a:xfrm>
          <a:off x="11072949" y="6926580"/>
          <a:ext cx="4648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43</xdr:row>
      <xdr:rowOff>19050</xdr:rowOff>
    </xdr:from>
    <xdr:to>
      <xdr:col>34</xdr:col>
      <xdr:colOff>266881</xdr:colOff>
      <xdr:row>43</xdr:row>
      <xdr:rowOff>133350</xdr:rowOff>
    </xdr:to>
    <xdr:sp macro="" textlink="">
      <xdr:nvSpPr>
        <xdr:cNvPr id="29112" name="40"/>
        <xdr:cNvSpPr/>
      </xdr:nvSpPr>
      <xdr:spPr>
        <a:xfrm>
          <a:off x="10940143" y="6717030"/>
          <a:ext cx="2004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43</xdr:row>
      <xdr:rowOff>76200</xdr:rowOff>
    </xdr:from>
    <xdr:to>
      <xdr:col>34</xdr:col>
      <xdr:colOff>265611</xdr:colOff>
      <xdr:row>43</xdr:row>
      <xdr:rowOff>76200</xdr:rowOff>
    </xdr:to>
    <xdr:cxnSp macro="">
      <xdr:nvCxnSpPr>
        <xdr:cNvPr id="29113" name="직선 화살표 연결선 29112"/>
        <xdr:cNvCxnSpPr/>
      </xdr:nvCxnSpPr>
      <xdr:spPr>
        <a:xfrm>
          <a:off x="10940143" y="67741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42</xdr:row>
      <xdr:rowOff>19050</xdr:rowOff>
    </xdr:from>
    <xdr:to>
      <xdr:col>34</xdr:col>
      <xdr:colOff>266881</xdr:colOff>
      <xdr:row>42</xdr:row>
      <xdr:rowOff>133350</xdr:rowOff>
    </xdr:to>
    <xdr:sp macro="" textlink="">
      <xdr:nvSpPr>
        <xdr:cNvPr id="29114" name="39"/>
        <xdr:cNvSpPr/>
      </xdr:nvSpPr>
      <xdr:spPr>
        <a:xfrm>
          <a:off x="10940143" y="6564630"/>
          <a:ext cx="2004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42</xdr:row>
      <xdr:rowOff>76200</xdr:rowOff>
    </xdr:from>
    <xdr:to>
      <xdr:col>34</xdr:col>
      <xdr:colOff>265611</xdr:colOff>
      <xdr:row>42</xdr:row>
      <xdr:rowOff>76200</xdr:rowOff>
    </xdr:to>
    <xdr:cxnSp macro="">
      <xdr:nvCxnSpPr>
        <xdr:cNvPr id="29115" name="직선 화살표 연결선 29114"/>
        <xdr:cNvCxnSpPr/>
      </xdr:nvCxnSpPr>
      <xdr:spPr>
        <a:xfrm>
          <a:off x="10940143" y="66217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41</xdr:row>
      <xdr:rowOff>19050</xdr:rowOff>
    </xdr:from>
    <xdr:to>
      <xdr:col>34</xdr:col>
      <xdr:colOff>266881</xdr:colOff>
      <xdr:row>41</xdr:row>
      <xdr:rowOff>133350</xdr:rowOff>
    </xdr:to>
    <xdr:sp macro="" textlink="">
      <xdr:nvSpPr>
        <xdr:cNvPr id="29116" name="38"/>
        <xdr:cNvSpPr/>
      </xdr:nvSpPr>
      <xdr:spPr>
        <a:xfrm>
          <a:off x="10940143" y="6412230"/>
          <a:ext cx="2004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41</xdr:row>
      <xdr:rowOff>76200</xdr:rowOff>
    </xdr:from>
    <xdr:to>
      <xdr:col>34</xdr:col>
      <xdr:colOff>265611</xdr:colOff>
      <xdr:row>41</xdr:row>
      <xdr:rowOff>76200</xdr:rowOff>
    </xdr:to>
    <xdr:cxnSp macro="">
      <xdr:nvCxnSpPr>
        <xdr:cNvPr id="29117" name="직선 화살표 연결선 29116"/>
        <xdr:cNvCxnSpPr/>
      </xdr:nvCxnSpPr>
      <xdr:spPr>
        <a:xfrm>
          <a:off x="10940143" y="64693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40</xdr:row>
      <xdr:rowOff>19050</xdr:rowOff>
    </xdr:from>
    <xdr:to>
      <xdr:col>34</xdr:col>
      <xdr:colOff>266881</xdr:colOff>
      <xdr:row>40</xdr:row>
      <xdr:rowOff>133350</xdr:rowOff>
    </xdr:to>
    <xdr:sp macro="" textlink="">
      <xdr:nvSpPr>
        <xdr:cNvPr id="29118" name="37"/>
        <xdr:cNvSpPr/>
      </xdr:nvSpPr>
      <xdr:spPr>
        <a:xfrm>
          <a:off x="10940143" y="6259830"/>
          <a:ext cx="2004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40</xdr:row>
      <xdr:rowOff>76200</xdr:rowOff>
    </xdr:from>
    <xdr:to>
      <xdr:col>34</xdr:col>
      <xdr:colOff>265611</xdr:colOff>
      <xdr:row>40</xdr:row>
      <xdr:rowOff>76200</xdr:rowOff>
    </xdr:to>
    <xdr:cxnSp macro="">
      <xdr:nvCxnSpPr>
        <xdr:cNvPr id="29119" name="직선 화살표 연결선 29118"/>
        <xdr:cNvCxnSpPr/>
      </xdr:nvCxnSpPr>
      <xdr:spPr>
        <a:xfrm>
          <a:off x="10940143" y="63169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39</xdr:row>
      <xdr:rowOff>19050</xdr:rowOff>
    </xdr:from>
    <xdr:to>
      <xdr:col>35</xdr:col>
      <xdr:colOff>399687</xdr:colOff>
      <xdr:row>39</xdr:row>
      <xdr:rowOff>133350</xdr:rowOff>
    </xdr:to>
    <xdr:sp macro="" textlink="">
      <xdr:nvSpPr>
        <xdr:cNvPr id="29120" name="36"/>
        <xdr:cNvSpPr/>
      </xdr:nvSpPr>
      <xdr:spPr>
        <a:xfrm>
          <a:off x="10940143" y="6107430"/>
          <a:ext cx="7981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39</xdr:row>
      <xdr:rowOff>76200</xdr:rowOff>
    </xdr:from>
    <xdr:to>
      <xdr:col>35</xdr:col>
      <xdr:colOff>398417</xdr:colOff>
      <xdr:row>39</xdr:row>
      <xdr:rowOff>76200</xdr:rowOff>
    </xdr:to>
    <xdr:cxnSp macro="">
      <xdr:nvCxnSpPr>
        <xdr:cNvPr id="29121" name="직선 화살표 연결선 29120"/>
        <xdr:cNvCxnSpPr/>
      </xdr:nvCxnSpPr>
      <xdr:spPr>
        <a:xfrm>
          <a:off x="10940143" y="616458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199208</xdr:colOff>
      <xdr:row>38</xdr:row>
      <xdr:rowOff>19050</xdr:rowOff>
    </xdr:from>
    <xdr:to>
      <xdr:col>33</xdr:col>
      <xdr:colOff>399687</xdr:colOff>
      <xdr:row>38</xdr:row>
      <xdr:rowOff>133350</xdr:rowOff>
    </xdr:to>
    <xdr:sp macro="" textlink="">
      <xdr:nvSpPr>
        <xdr:cNvPr id="29122" name="35"/>
        <xdr:cNvSpPr/>
      </xdr:nvSpPr>
      <xdr:spPr>
        <a:xfrm>
          <a:off x="10608128" y="595503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199208</xdr:colOff>
      <xdr:row>38</xdr:row>
      <xdr:rowOff>76200</xdr:rowOff>
    </xdr:from>
    <xdr:to>
      <xdr:col>33</xdr:col>
      <xdr:colOff>398417</xdr:colOff>
      <xdr:row>38</xdr:row>
      <xdr:rowOff>76200</xdr:rowOff>
    </xdr:to>
    <xdr:cxnSp macro="">
      <xdr:nvCxnSpPr>
        <xdr:cNvPr id="29123" name="직선 화살표 연결선 29122"/>
        <xdr:cNvCxnSpPr/>
      </xdr:nvCxnSpPr>
      <xdr:spPr>
        <a:xfrm>
          <a:off x="10608128" y="601218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132806</xdr:colOff>
      <xdr:row>37</xdr:row>
      <xdr:rowOff>19050</xdr:rowOff>
    </xdr:from>
    <xdr:to>
      <xdr:col>33</xdr:col>
      <xdr:colOff>266881</xdr:colOff>
      <xdr:row>37</xdr:row>
      <xdr:rowOff>133350</xdr:rowOff>
    </xdr:to>
    <xdr:sp macro="" textlink="">
      <xdr:nvSpPr>
        <xdr:cNvPr id="29124" name="34"/>
        <xdr:cNvSpPr/>
      </xdr:nvSpPr>
      <xdr:spPr>
        <a:xfrm>
          <a:off x="10541726" y="580263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132806</xdr:colOff>
      <xdr:row>37</xdr:row>
      <xdr:rowOff>76200</xdr:rowOff>
    </xdr:from>
    <xdr:to>
      <xdr:col>33</xdr:col>
      <xdr:colOff>265611</xdr:colOff>
      <xdr:row>37</xdr:row>
      <xdr:rowOff>76200</xdr:rowOff>
    </xdr:to>
    <xdr:cxnSp macro="">
      <xdr:nvCxnSpPr>
        <xdr:cNvPr id="29125" name="직선 화살표 연결선 29124"/>
        <xdr:cNvCxnSpPr/>
      </xdr:nvCxnSpPr>
      <xdr:spPr>
        <a:xfrm>
          <a:off x="10541726" y="585978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66403</xdr:colOff>
      <xdr:row>36</xdr:row>
      <xdr:rowOff>19050</xdr:rowOff>
    </xdr:from>
    <xdr:to>
      <xdr:col>33</xdr:col>
      <xdr:colOff>134075</xdr:colOff>
      <xdr:row>36</xdr:row>
      <xdr:rowOff>133350</xdr:rowOff>
    </xdr:to>
    <xdr:sp macro="" textlink="">
      <xdr:nvSpPr>
        <xdr:cNvPr id="29126" name="33"/>
        <xdr:cNvSpPr/>
      </xdr:nvSpPr>
      <xdr:spPr>
        <a:xfrm>
          <a:off x="10475323" y="5650230"/>
          <a:ext cx="676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66403</xdr:colOff>
      <xdr:row>36</xdr:row>
      <xdr:rowOff>76200</xdr:rowOff>
    </xdr:from>
    <xdr:to>
      <xdr:col>33</xdr:col>
      <xdr:colOff>132806</xdr:colOff>
      <xdr:row>36</xdr:row>
      <xdr:rowOff>76200</xdr:rowOff>
    </xdr:to>
    <xdr:cxnSp macro="">
      <xdr:nvCxnSpPr>
        <xdr:cNvPr id="29127" name="직선 화살표 연결선 29126"/>
        <xdr:cNvCxnSpPr/>
      </xdr:nvCxnSpPr>
      <xdr:spPr>
        <a:xfrm>
          <a:off x="10475323" y="5707380"/>
          <a:ext cx="664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35</xdr:row>
      <xdr:rowOff>19050</xdr:rowOff>
    </xdr:from>
    <xdr:to>
      <xdr:col>33</xdr:col>
      <xdr:colOff>134075</xdr:colOff>
      <xdr:row>35</xdr:row>
      <xdr:rowOff>133350</xdr:rowOff>
    </xdr:to>
    <xdr:sp macro="" textlink="">
      <xdr:nvSpPr>
        <xdr:cNvPr id="29128" name="32"/>
        <xdr:cNvSpPr/>
      </xdr:nvSpPr>
      <xdr:spPr>
        <a:xfrm>
          <a:off x="10408920" y="549783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35</xdr:row>
      <xdr:rowOff>76200</xdr:rowOff>
    </xdr:from>
    <xdr:to>
      <xdr:col>33</xdr:col>
      <xdr:colOff>132806</xdr:colOff>
      <xdr:row>35</xdr:row>
      <xdr:rowOff>76200</xdr:rowOff>
    </xdr:to>
    <xdr:cxnSp macro="">
      <xdr:nvCxnSpPr>
        <xdr:cNvPr id="29129" name="직선 화살표 연결선 29128"/>
        <xdr:cNvCxnSpPr/>
      </xdr:nvCxnSpPr>
      <xdr:spPr>
        <a:xfrm>
          <a:off x="10408920" y="55549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332015</xdr:colOff>
      <xdr:row>34</xdr:row>
      <xdr:rowOff>19050</xdr:rowOff>
    </xdr:from>
    <xdr:to>
      <xdr:col>33</xdr:col>
      <xdr:colOff>67672</xdr:colOff>
      <xdr:row>34</xdr:row>
      <xdr:rowOff>133350</xdr:rowOff>
    </xdr:to>
    <xdr:sp macro="" textlink="">
      <xdr:nvSpPr>
        <xdr:cNvPr id="29130" name="31"/>
        <xdr:cNvSpPr/>
      </xdr:nvSpPr>
      <xdr:spPr>
        <a:xfrm>
          <a:off x="10276115" y="5345430"/>
          <a:ext cx="2004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332015</xdr:colOff>
      <xdr:row>34</xdr:row>
      <xdr:rowOff>76200</xdr:rowOff>
    </xdr:from>
    <xdr:to>
      <xdr:col>33</xdr:col>
      <xdr:colOff>66403</xdr:colOff>
      <xdr:row>34</xdr:row>
      <xdr:rowOff>76200</xdr:rowOff>
    </xdr:to>
    <xdr:cxnSp macro="">
      <xdr:nvCxnSpPr>
        <xdr:cNvPr id="29131" name="직선 화살표 연결선 29130"/>
        <xdr:cNvCxnSpPr/>
      </xdr:nvCxnSpPr>
      <xdr:spPr>
        <a:xfrm>
          <a:off x="10276115" y="54025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265612</xdr:colOff>
      <xdr:row>33</xdr:row>
      <xdr:rowOff>19050</xdr:rowOff>
    </xdr:from>
    <xdr:to>
      <xdr:col>32</xdr:col>
      <xdr:colOff>399686</xdr:colOff>
      <xdr:row>33</xdr:row>
      <xdr:rowOff>133350</xdr:rowOff>
    </xdr:to>
    <xdr:sp macro="" textlink="">
      <xdr:nvSpPr>
        <xdr:cNvPr id="29132" name="30"/>
        <xdr:cNvSpPr/>
      </xdr:nvSpPr>
      <xdr:spPr>
        <a:xfrm>
          <a:off x="10209712" y="5193030"/>
          <a:ext cx="134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265612</xdr:colOff>
      <xdr:row>33</xdr:row>
      <xdr:rowOff>76200</xdr:rowOff>
    </xdr:from>
    <xdr:to>
      <xdr:col>32</xdr:col>
      <xdr:colOff>398417</xdr:colOff>
      <xdr:row>33</xdr:row>
      <xdr:rowOff>76200</xdr:rowOff>
    </xdr:to>
    <xdr:cxnSp macro="">
      <xdr:nvCxnSpPr>
        <xdr:cNvPr id="29133" name="직선 화살표 연결선 29132"/>
        <xdr:cNvCxnSpPr/>
      </xdr:nvCxnSpPr>
      <xdr:spPr>
        <a:xfrm>
          <a:off x="10209712" y="5250180"/>
          <a:ext cx="132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265612</xdr:colOff>
      <xdr:row>32</xdr:row>
      <xdr:rowOff>19050</xdr:rowOff>
    </xdr:from>
    <xdr:to>
      <xdr:col>33</xdr:col>
      <xdr:colOff>67672</xdr:colOff>
      <xdr:row>32</xdr:row>
      <xdr:rowOff>133350</xdr:rowOff>
    </xdr:to>
    <xdr:sp macro="" textlink="">
      <xdr:nvSpPr>
        <xdr:cNvPr id="29134" name="29"/>
        <xdr:cNvSpPr/>
      </xdr:nvSpPr>
      <xdr:spPr>
        <a:xfrm>
          <a:off x="10209712" y="5040630"/>
          <a:ext cx="2668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265612</xdr:colOff>
      <xdr:row>32</xdr:row>
      <xdr:rowOff>76200</xdr:rowOff>
    </xdr:from>
    <xdr:to>
      <xdr:col>33</xdr:col>
      <xdr:colOff>66403</xdr:colOff>
      <xdr:row>32</xdr:row>
      <xdr:rowOff>76200</xdr:rowOff>
    </xdr:to>
    <xdr:cxnSp macro="">
      <xdr:nvCxnSpPr>
        <xdr:cNvPr id="29135" name="직선 화살표 연결선 29134"/>
        <xdr:cNvCxnSpPr/>
      </xdr:nvCxnSpPr>
      <xdr:spPr>
        <a:xfrm>
          <a:off x="10209712" y="5097780"/>
          <a:ext cx="2656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265612</xdr:colOff>
      <xdr:row>31</xdr:row>
      <xdr:rowOff>19050</xdr:rowOff>
    </xdr:from>
    <xdr:to>
      <xdr:col>32</xdr:col>
      <xdr:colOff>333284</xdr:colOff>
      <xdr:row>31</xdr:row>
      <xdr:rowOff>133350</xdr:rowOff>
    </xdr:to>
    <xdr:sp macro="" textlink="">
      <xdr:nvSpPr>
        <xdr:cNvPr id="29136" name="28"/>
        <xdr:cNvSpPr/>
      </xdr:nvSpPr>
      <xdr:spPr>
        <a:xfrm>
          <a:off x="10209712" y="4888230"/>
          <a:ext cx="676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265612</xdr:colOff>
      <xdr:row>31</xdr:row>
      <xdr:rowOff>76200</xdr:rowOff>
    </xdr:from>
    <xdr:to>
      <xdr:col>32</xdr:col>
      <xdr:colOff>332015</xdr:colOff>
      <xdr:row>31</xdr:row>
      <xdr:rowOff>76200</xdr:rowOff>
    </xdr:to>
    <xdr:cxnSp macro="">
      <xdr:nvCxnSpPr>
        <xdr:cNvPr id="29137" name="직선 화살표 연결선 29136"/>
        <xdr:cNvCxnSpPr/>
      </xdr:nvCxnSpPr>
      <xdr:spPr>
        <a:xfrm>
          <a:off x="10209712" y="4945380"/>
          <a:ext cx="664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132806</xdr:colOff>
      <xdr:row>30</xdr:row>
      <xdr:rowOff>19050</xdr:rowOff>
    </xdr:from>
    <xdr:to>
      <xdr:col>32</xdr:col>
      <xdr:colOff>266881</xdr:colOff>
      <xdr:row>30</xdr:row>
      <xdr:rowOff>133350</xdr:rowOff>
    </xdr:to>
    <xdr:sp macro="" textlink="">
      <xdr:nvSpPr>
        <xdr:cNvPr id="29138" name="27"/>
        <xdr:cNvSpPr/>
      </xdr:nvSpPr>
      <xdr:spPr>
        <a:xfrm>
          <a:off x="10076906" y="473583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132806</xdr:colOff>
      <xdr:row>30</xdr:row>
      <xdr:rowOff>76200</xdr:rowOff>
    </xdr:from>
    <xdr:to>
      <xdr:col>32</xdr:col>
      <xdr:colOff>265612</xdr:colOff>
      <xdr:row>30</xdr:row>
      <xdr:rowOff>76200</xdr:rowOff>
    </xdr:to>
    <xdr:cxnSp macro="">
      <xdr:nvCxnSpPr>
        <xdr:cNvPr id="29139" name="직선 화살표 연결선 29138"/>
        <xdr:cNvCxnSpPr/>
      </xdr:nvCxnSpPr>
      <xdr:spPr>
        <a:xfrm>
          <a:off x="10076906" y="47929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29</xdr:row>
      <xdr:rowOff>19050</xdr:rowOff>
    </xdr:from>
    <xdr:to>
      <xdr:col>32</xdr:col>
      <xdr:colOff>200478</xdr:colOff>
      <xdr:row>29</xdr:row>
      <xdr:rowOff>133350</xdr:rowOff>
    </xdr:to>
    <xdr:sp macro="" textlink="">
      <xdr:nvSpPr>
        <xdr:cNvPr id="29140" name="26"/>
        <xdr:cNvSpPr/>
      </xdr:nvSpPr>
      <xdr:spPr>
        <a:xfrm>
          <a:off x="10010503" y="4583430"/>
          <a:ext cx="1340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29</xdr:row>
      <xdr:rowOff>76200</xdr:rowOff>
    </xdr:from>
    <xdr:to>
      <xdr:col>32</xdr:col>
      <xdr:colOff>199209</xdr:colOff>
      <xdr:row>29</xdr:row>
      <xdr:rowOff>76200</xdr:rowOff>
    </xdr:to>
    <xdr:cxnSp macro="">
      <xdr:nvCxnSpPr>
        <xdr:cNvPr id="29141" name="직선 화살표 연결선 29140"/>
        <xdr:cNvCxnSpPr/>
      </xdr:nvCxnSpPr>
      <xdr:spPr>
        <a:xfrm>
          <a:off x="10010503" y="46405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28</xdr:row>
      <xdr:rowOff>19050</xdr:rowOff>
    </xdr:from>
    <xdr:to>
      <xdr:col>32</xdr:col>
      <xdr:colOff>333284</xdr:colOff>
      <xdr:row>28</xdr:row>
      <xdr:rowOff>133350</xdr:rowOff>
    </xdr:to>
    <xdr:sp macro="" textlink="">
      <xdr:nvSpPr>
        <xdr:cNvPr id="29142" name="25"/>
        <xdr:cNvSpPr/>
      </xdr:nvSpPr>
      <xdr:spPr>
        <a:xfrm>
          <a:off x="10010503" y="4431030"/>
          <a:ext cx="2668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28</xdr:row>
      <xdr:rowOff>76200</xdr:rowOff>
    </xdr:from>
    <xdr:to>
      <xdr:col>32</xdr:col>
      <xdr:colOff>332015</xdr:colOff>
      <xdr:row>28</xdr:row>
      <xdr:rowOff>76200</xdr:rowOff>
    </xdr:to>
    <xdr:cxnSp macro="">
      <xdr:nvCxnSpPr>
        <xdr:cNvPr id="29143" name="직선 화살표 연결선 29142"/>
        <xdr:cNvCxnSpPr/>
      </xdr:nvCxnSpPr>
      <xdr:spPr>
        <a:xfrm>
          <a:off x="10010503" y="4488180"/>
          <a:ext cx="265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27</xdr:row>
      <xdr:rowOff>19050</xdr:rowOff>
    </xdr:from>
    <xdr:to>
      <xdr:col>33</xdr:col>
      <xdr:colOff>399687</xdr:colOff>
      <xdr:row>27</xdr:row>
      <xdr:rowOff>133350</xdr:rowOff>
    </xdr:to>
    <xdr:sp macro="" textlink="">
      <xdr:nvSpPr>
        <xdr:cNvPr id="29144" name="24"/>
        <xdr:cNvSpPr/>
      </xdr:nvSpPr>
      <xdr:spPr>
        <a:xfrm>
          <a:off x="10010503" y="4278630"/>
          <a:ext cx="7981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27</xdr:row>
      <xdr:rowOff>76200</xdr:rowOff>
    </xdr:from>
    <xdr:to>
      <xdr:col>33</xdr:col>
      <xdr:colOff>398417</xdr:colOff>
      <xdr:row>27</xdr:row>
      <xdr:rowOff>76200</xdr:rowOff>
    </xdr:to>
    <xdr:cxnSp macro="">
      <xdr:nvCxnSpPr>
        <xdr:cNvPr id="29145" name="직선 화살표 연결선 29144"/>
        <xdr:cNvCxnSpPr/>
      </xdr:nvCxnSpPr>
      <xdr:spPr>
        <a:xfrm>
          <a:off x="10010503" y="433578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26</xdr:row>
      <xdr:rowOff>19050</xdr:rowOff>
    </xdr:from>
    <xdr:to>
      <xdr:col>35</xdr:col>
      <xdr:colOff>399688</xdr:colOff>
      <xdr:row>26</xdr:row>
      <xdr:rowOff>133350</xdr:rowOff>
    </xdr:to>
    <xdr:sp macro="" textlink="">
      <xdr:nvSpPr>
        <xdr:cNvPr id="29146" name="23"/>
        <xdr:cNvSpPr/>
      </xdr:nvSpPr>
      <xdr:spPr>
        <a:xfrm>
          <a:off x="10010503" y="4126230"/>
          <a:ext cx="17277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26</xdr:row>
      <xdr:rowOff>76200</xdr:rowOff>
    </xdr:from>
    <xdr:to>
      <xdr:col>35</xdr:col>
      <xdr:colOff>398417</xdr:colOff>
      <xdr:row>26</xdr:row>
      <xdr:rowOff>76200</xdr:rowOff>
    </xdr:to>
    <xdr:cxnSp macro="">
      <xdr:nvCxnSpPr>
        <xdr:cNvPr id="29147" name="직선 화살표 연결선 29146"/>
        <xdr:cNvCxnSpPr/>
      </xdr:nvCxnSpPr>
      <xdr:spPr>
        <a:xfrm>
          <a:off x="10010503" y="4183380"/>
          <a:ext cx="17264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25</xdr:row>
      <xdr:rowOff>19050</xdr:rowOff>
    </xdr:from>
    <xdr:to>
      <xdr:col>35</xdr:col>
      <xdr:colOff>399688</xdr:colOff>
      <xdr:row>25</xdr:row>
      <xdr:rowOff>133350</xdr:rowOff>
    </xdr:to>
    <xdr:sp macro="" textlink="">
      <xdr:nvSpPr>
        <xdr:cNvPr id="29148" name="22"/>
        <xdr:cNvSpPr/>
      </xdr:nvSpPr>
      <xdr:spPr>
        <a:xfrm>
          <a:off x="10010503" y="3973830"/>
          <a:ext cx="17277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25</xdr:row>
      <xdr:rowOff>76200</xdr:rowOff>
    </xdr:from>
    <xdr:to>
      <xdr:col>35</xdr:col>
      <xdr:colOff>398417</xdr:colOff>
      <xdr:row>25</xdr:row>
      <xdr:rowOff>76200</xdr:rowOff>
    </xdr:to>
    <xdr:cxnSp macro="">
      <xdr:nvCxnSpPr>
        <xdr:cNvPr id="29149" name="직선 화살표 연결선 29148"/>
        <xdr:cNvCxnSpPr/>
      </xdr:nvCxnSpPr>
      <xdr:spPr>
        <a:xfrm>
          <a:off x="10010503" y="4030980"/>
          <a:ext cx="17264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332014</xdr:colOff>
      <xdr:row>24</xdr:row>
      <xdr:rowOff>19050</xdr:rowOff>
    </xdr:from>
    <xdr:to>
      <xdr:col>32</xdr:col>
      <xdr:colOff>134076</xdr:colOff>
      <xdr:row>24</xdr:row>
      <xdr:rowOff>133350</xdr:rowOff>
    </xdr:to>
    <xdr:sp macro="" textlink="">
      <xdr:nvSpPr>
        <xdr:cNvPr id="29150" name="21"/>
        <xdr:cNvSpPr/>
      </xdr:nvSpPr>
      <xdr:spPr>
        <a:xfrm>
          <a:off x="9811294" y="3821430"/>
          <a:ext cx="2668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332014</xdr:colOff>
      <xdr:row>24</xdr:row>
      <xdr:rowOff>76200</xdr:rowOff>
    </xdr:from>
    <xdr:to>
      <xdr:col>32</xdr:col>
      <xdr:colOff>132806</xdr:colOff>
      <xdr:row>24</xdr:row>
      <xdr:rowOff>76200</xdr:rowOff>
    </xdr:to>
    <xdr:cxnSp macro="">
      <xdr:nvCxnSpPr>
        <xdr:cNvPr id="29151" name="직선 화살표 연결선 29150"/>
        <xdr:cNvCxnSpPr/>
      </xdr:nvCxnSpPr>
      <xdr:spPr>
        <a:xfrm>
          <a:off x="9811294" y="3878580"/>
          <a:ext cx="265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332014</xdr:colOff>
      <xdr:row>23</xdr:row>
      <xdr:rowOff>19050</xdr:rowOff>
    </xdr:from>
    <xdr:to>
      <xdr:col>32</xdr:col>
      <xdr:colOff>1270</xdr:colOff>
      <xdr:row>23</xdr:row>
      <xdr:rowOff>133350</xdr:rowOff>
    </xdr:to>
    <xdr:sp macro="" textlink="">
      <xdr:nvSpPr>
        <xdr:cNvPr id="29152" name="20"/>
        <xdr:cNvSpPr/>
      </xdr:nvSpPr>
      <xdr:spPr>
        <a:xfrm>
          <a:off x="9811294" y="3669030"/>
          <a:ext cx="1340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332014</xdr:colOff>
      <xdr:row>23</xdr:row>
      <xdr:rowOff>76200</xdr:rowOff>
    </xdr:from>
    <xdr:to>
      <xdr:col>32</xdr:col>
      <xdr:colOff>0</xdr:colOff>
      <xdr:row>23</xdr:row>
      <xdr:rowOff>76200</xdr:rowOff>
    </xdr:to>
    <xdr:cxnSp macro="">
      <xdr:nvCxnSpPr>
        <xdr:cNvPr id="29153" name="직선 화살표 연결선 29152"/>
        <xdr:cNvCxnSpPr/>
      </xdr:nvCxnSpPr>
      <xdr:spPr>
        <a:xfrm>
          <a:off x="9811294" y="37261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332014</xdr:colOff>
      <xdr:row>22</xdr:row>
      <xdr:rowOff>19050</xdr:rowOff>
    </xdr:from>
    <xdr:to>
      <xdr:col>32</xdr:col>
      <xdr:colOff>134076</xdr:colOff>
      <xdr:row>22</xdr:row>
      <xdr:rowOff>133350</xdr:rowOff>
    </xdr:to>
    <xdr:sp macro="" textlink="">
      <xdr:nvSpPr>
        <xdr:cNvPr id="29154" name="19"/>
        <xdr:cNvSpPr/>
      </xdr:nvSpPr>
      <xdr:spPr>
        <a:xfrm>
          <a:off x="9811294" y="3516630"/>
          <a:ext cx="2668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332014</xdr:colOff>
      <xdr:row>22</xdr:row>
      <xdr:rowOff>76200</xdr:rowOff>
    </xdr:from>
    <xdr:to>
      <xdr:col>32</xdr:col>
      <xdr:colOff>132806</xdr:colOff>
      <xdr:row>22</xdr:row>
      <xdr:rowOff>76200</xdr:rowOff>
    </xdr:to>
    <xdr:cxnSp macro="">
      <xdr:nvCxnSpPr>
        <xdr:cNvPr id="29155" name="직선 화살표 연결선 29154"/>
        <xdr:cNvCxnSpPr/>
      </xdr:nvCxnSpPr>
      <xdr:spPr>
        <a:xfrm>
          <a:off x="9811294" y="3573780"/>
          <a:ext cx="265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199208</xdr:colOff>
      <xdr:row>21</xdr:row>
      <xdr:rowOff>19050</xdr:rowOff>
    </xdr:from>
    <xdr:to>
      <xdr:col>31</xdr:col>
      <xdr:colOff>399687</xdr:colOff>
      <xdr:row>21</xdr:row>
      <xdr:rowOff>133350</xdr:rowOff>
    </xdr:to>
    <xdr:sp macro="" textlink="">
      <xdr:nvSpPr>
        <xdr:cNvPr id="29156" name="18"/>
        <xdr:cNvSpPr/>
      </xdr:nvSpPr>
      <xdr:spPr>
        <a:xfrm>
          <a:off x="9678488" y="336423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199208</xdr:colOff>
      <xdr:row>21</xdr:row>
      <xdr:rowOff>76200</xdr:rowOff>
    </xdr:from>
    <xdr:to>
      <xdr:col>31</xdr:col>
      <xdr:colOff>398417</xdr:colOff>
      <xdr:row>21</xdr:row>
      <xdr:rowOff>76200</xdr:rowOff>
    </xdr:to>
    <xdr:cxnSp macro="">
      <xdr:nvCxnSpPr>
        <xdr:cNvPr id="29157" name="직선 화살표 연결선 29156"/>
        <xdr:cNvCxnSpPr/>
      </xdr:nvCxnSpPr>
      <xdr:spPr>
        <a:xfrm>
          <a:off x="9678488" y="342138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199208</xdr:colOff>
      <xdr:row>20</xdr:row>
      <xdr:rowOff>19050</xdr:rowOff>
    </xdr:from>
    <xdr:to>
      <xdr:col>31</xdr:col>
      <xdr:colOff>266881</xdr:colOff>
      <xdr:row>20</xdr:row>
      <xdr:rowOff>133350</xdr:rowOff>
    </xdr:to>
    <xdr:sp macro="" textlink="">
      <xdr:nvSpPr>
        <xdr:cNvPr id="29158" name="17"/>
        <xdr:cNvSpPr/>
      </xdr:nvSpPr>
      <xdr:spPr>
        <a:xfrm>
          <a:off x="9678488" y="3211830"/>
          <a:ext cx="676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199208</xdr:colOff>
      <xdr:row>20</xdr:row>
      <xdr:rowOff>76200</xdr:rowOff>
    </xdr:from>
    <xdr:to>
      <xdr:col>31</xdr:col>
      <xdr:colOff>265611</xdr:colOff>
      <xdr:row>20</xdr:row>
      <xdr:rowOff>76200</xdr:rowOff>
    </xdr:to>
    <xdr:cxnSp macro="">
      <xdr:nvCxnSpPr>
        <xdr:cNvPr id="29159" name="직선 화살표 연결선 29158"/>
        <xdr:cNvCxnSpPr/>
      </xdr:nvCxnSpPr>
      <xdr:spPr>
        <a:xfrm>
          <a:off x="9678488" y="3268980"/>
          <a:ext cx="664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199208</xdr:colOff>
      <xdr:row>19</xdr:row>
      <xdr:rowOff>19050</xdr:rowOff>
    </xdr:from>
    <xdr:to>
      <xdr:col>31</xdr:col>
      <xdr:colOff>399687</xdr:colOff>
      <xdr:row>19</xdr:row>
      <xdr:rowOff>133350</xdr:rowOff>
    </xdr:to>
    <xdr:sp macro="" textlink="">
      <xdr:nvSpPr>
        <xdr:cNvPr id="29160" name="16"/>
        <xdr:cNvSpPr/>
      </xdr:nvSpPr>
      <xdr:spPr>
        <a:xfrm>
          <a:off x="9678488" y="3059430"/>
          <a:ext cx="2004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199208</xdr:colOff>
      <xdr:row>19</xdr:row>
      <xdr:rowOff>76200</xdr:rowOff>
    </xdr:from>
    <xdr:to>
      <xdr:col>31</xdr:col>
      <xdr:colOff>398417</xdr:colOff>
      <xdr:row>19</xdr:row>
      <xdr:rowOff>76200</xdr:rowOff>
    </xdr:to>
    <xdr:cxnSp macro="">
      <xdr:nvCxnSpPr>
        <xdr:cNvPr id="29161" name="직선 화살표 연결선 29160"/>
        <xdr:cNvCxnSpPr/>
      </xdr:nvCxnSpPr>
      <xdr:spPr>
        <a:xfrm>
          <a:off x="9678488" y="311658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18</xdr:row>
      <xdr:rowOff>19050</xdr:rowOff>
    </xdr:from>
    <xdr:to>
      <xdr:col>31</xdr:col>
      <xdr:colOff>266881</xdr:colOff>
      <xdr:row>18</xdr:row>
      <xdr:rowOff>133350</xdr:rowOff>
    </xdr:to>
    <xdr:sp macro="" textlink="">
      <xdr:nvSpPr>
        <xdr:cNvPr id="29162" name="15"/>
        <xdr:cNvSpPr/>
      </xdr:nvSpPr>
      <xdr:spPr>
        <a:xfrm>
          <a:off x="9545683" y="2907030"/>
          <a:ext cx="2004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18</xdr:row>
      <xdr:rowOff>76200</xdr:rowOff>
    </xdr:from>
    <xdr:to>
      <xdr:col>31</xdr:col>
      <xdr:colOff>265611</xdr:colOff>
      <xdr:row>18</xdr:row>
      <xdr:rowOff>76200</xdr:rowOff>
    </xdr:to>
    <xdr:cxnSp macro="">
      <xdr:nvCxnSpPr>
        <xdr:cNvPr id="29163" name="직선 화살표 연결선 29162"/>
        <xdr:cNvCxnSpPr/>
      </xdr:nvCxnSpPr>
      <xdr:spPr>
        <a:xfrm>
          <a:off x="9545683" y="29641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17</xdr:row>
      <xdr:rowOff>19050</xdr:rowOff>
    </xdr:from>
    <xdr:to>
      <xdr:col>31</xdr:col>
      <xdr:colOff>399687</xdr:colOff>
      <xdr:row>17</xdr:row>
      <xdr:rowOff>133350</xdr:rowOff>
    </xdr:to>
    <xdr:sp macro="" textlink="">
      <xdr:nvSpPr>
        <xdr:cNvPr id="29164" name="14"/>
        <xdr:cNvSpPr/>
      </xdr:nvSpPr>
      <xdr:spPr>
        <a:xfrm>
          <a:off x="9545683" y="2754630"/>
          <a:ext cx="3332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17</xdr:row>
      <xdr:rowOff>76200</xdr:rowOff>
    </xdr:from>
    <xdr:to>
      <xdr:col>31</xdr:col>
      <xdr:colOff>398417</xdr:colOff>
      <xdr:row>17</xdr:row>
      <xdr:rowOff>76200</xdr:rowOff>
    </xdr:to>
    <xdr:cxnSp macro="">
      <xdr:nvCxnSpPr>
        <xdr:cNvPr id="29165" name="직선 화살표 연결선 29164"/>
        <xdr:cNvCxnSpPr/>
      </xdr:nvCxnSpPr>
      <xdr:spPr>
        <a:xfrm>
          <a:off x="9545683" y="2811780"/>
          <a:ext cx="3320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16</xdr:row>
      <xdr:rowOff>19050</xdr:rowOff>
    </xdr:from>
    <xdr:to>
      <xdr:col>35</xdr:col>
      <xdr:colOff>399688</xdr:colOff>
      <xdr:row>16</xdr:row>
      <xdr:rowOff>133350</xdr:rowOff>
    </xdr:to>
    <xdr:sp macro="" textlink="">
      <xdr:nvSpPr>
        <xdr:cNvPr id="29166" name="13"/>
        <xdr:cNvSpPr/>
      </xdr:nvSpPr>
      <xdr:spPr>
        <a:xfrm>
          <a:off x="9545683" y="2602230"/>
          <a:ext cx="21925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16</xdr:row>
      <xdr:rowOff>76200</xdr:rowOff>
    </xdr:from>
    <xdr:to>
      <xdr:col>35</xdr:col>
      <xdr:colOff>398417</xdr:colOff>
      <xdr:row>16</xdr:row>
      <xdr:rowOff>76200</xdr:rowOff>
    </xdr:to>
    <xdr:cxnSp macro="">
      <xdr:nvCxnSpPr>
        <xdr:cNvPr id="29167" name="직선 화살표 연결선 29166"/>
        <xdr:cNvCxnSpPr/>
      </xdr:nvCxnSpPr>
      <xdr:spPr>
        <a:xfrm>
          <a:off x="9545683" y="2659380"/>
          <a:ext cx="21912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15</xdr:row>
      <xdr:rowOff>19050</xdr:rowOff>
    </xdr:from>
    <xdr:to>
      <xdr:col>36</xdr:col>
      <xdr:colOff>333284</xdr:colOff>
      <xdr:row>15</xdr:row>
      <xdr:rowOff>133350</xdr:rowOff>
    </xdr:to>
    <xdr:sp macro="" textlink="">
      <xdr:nvSpPr>
        <xdr:cNvPr id="29168" name="12"/>
        <xdr:cNvSpPr/>
      </xdr:nvSpPr>
      <xdr:spPr>
        <a:xfrm>
          <a:off x="11803380" y="2449830"/>
          <a:ext cx="3332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15</xdr:row>
      <xdr:rowOff>76200</xdr:rowOff>
    </xdr:from>
    <xdr:to>
      <xdr:col>36</xdr:col>
      <xdr:colOff>332014</xdr:colOff>
      <xdr:row>15</xdr:row>
      <xdr:rowOff>76200</xdr:rowOff>
    </xdr:to>
    <xdr:cxnSp macro="">
      <xdr:nvCxnSpPr>
        <xdr:cNvPr id="29169" name="직선 화살표 연결선 29168"/>
        <xdr:cNvCxnSpPr/>
      </xdr:nvCxnSpPr>
      <xdr:spPr>
        <a:xfrm>
          <a:off x="11803380" y="2506980"/>
          <a:ext cx="3320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332014</xdr:colOff>
      <xdr:row>14</xdr:row>
      <xdr:rowOff>19050</xdr:rowOff>
    </xdr:from>
    <xdr:to>
      <xdr:col>36</xdr:col>
      <xdr:colOff>67673</xdr:colOff>
      <xdr:row>14</xdr:row>
      <xdr:rowOff>133350</xdr:rowOff>
    </xdr:to>
    <xdr:sp macro="" textlink="">
      <xdr:nvSpPr>
        <xdr:cNvPr id="29170" name="11"/>
        <xdr:cNvSpPr/>
      </xdr:nvSpPr>
      <xdr:spPr>
        <a:xfrm>
          <a:off x="11670574" y="2297430"/>
          <a:ext cx="2004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332014</xdr:colOff>
      <xdr:row>14</xdr:row>
      <xdr:rowOff>76200</xdr:rowOff>
    </xdr:from>
    <xdr:to>
      <xdr:col>36</xdr:col>
      <xdr:colOff>66403</xdr:colOff>
      <xdr:row>14</xdr:row>
      <xdr:rowOff>76200</xdr:rowOff>
    </xdr:to>
    <xdr:cxnSp macro="">
      <xdr:nvCxnSpPr>
        <xdr:cNvPr id="29171" name="직선 화살표 연결선 29170"/>
        <xdr:cNvCxnSpPr/>
      </xdr:nvCxnSpPr>
      <xdr:spPr>
        <a:xfrm>
          <a:off x="11670574" y="2354580"/>
          <a:ext cx="199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332014</xdr:colOff>
      <xdr:row>13</xdr:row>
      <xdr:rowOff>19050</xdr:rowOff>
    </xdr:from>
    <xdr:to>
      <xdr:col>36</xdr:col>
      <xdr:colOff>333284</xdr:colOff>
      <xdr:row>13</xdr:row>
      <xdr:rowOff>133350</xdr:rowOff>
    </xdr:to>
    <xdr:sp macro="" textlink="">
      <xdr:nvSpPr>
        <xdr:cNvPr id="29172" name="10"/>
        <xdr:cNvSpPr/>
      </xdr:nvSpPr>
      <xdr:spPr>
        <a:xfrm>
          <a:off x="11670574" y="2145030"/>
          <a:ext cx="4660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332014</xdr:colOff>
      <xdr:row>13</xdr:row>
      <xdr:rowOff>76200</xdr:rowOff>
    </xdr:from>
    <xdr:to>
      <xdr:col>36</xdr:col>
      <xdr:colOff>332014</xdr:colOff>
      <xdr:row>13</xdr:row>
      <xdr:rowOff>76200</xdr:rowOff>
    </xdr:to>
    <xdr:cxnSp macro="">
      <xdr:nvCxnSpPr>
        <xdr:cNvPr id="29173" name="직선 화살표 연결선 29172"/>
        <xdr:cNvCxnSpPr/>
      </xdr:nvCxnSpPr>
      <xdr:spPr>
        <a:xfrm>
          <a:off x="11670574" y="2202180"/>
          <a:ext cx="4648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66403</xdr:colOff>
      <xdr:row>12</xdr:row>
      <xdr:rowOff>19050</xdr:rowOff>
    </xdr:from>
    <xdr:to>
      <xdr:col>35</xdr:col>
      <xdr:colOff>399687</xdr:colOff>
      <xdr:row>12</xdr:row>
      <xdr:rowOff>133350</xdr:rowOff>
    </xdr:to>
    <xdr:sp macro="" textlink="">
      <xdr:nvSpPr>
        <xdr:cNvPr id="29174" name="9"/>
        <xdr:cNvSpPr/>
      </xdr:nvSpPr>
      <xdr:spPr>
        <a:xfrm>
          <a:off x="10940143" y="1992630"/>
          <a:ext cx="7981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66403</xdr:colOff>
      <xdr:row>12</xdr:row>
      <xdr:rowOff>76200</xdr:rowOff>
    </xdr:from>
    <xdr:to>
      <xdr:col>35</xdr:col>
      <xdr:colOff>398417</xdr:colOff>
      <xdr:row>12</xdr:row>
      <xdr:rowOff>76200</xdr:rowOff>
    </xdr:to>
    <xdr:cxnSp macro="">
      <xdr:nvCxnSpPr>
        <xdr:cNvPr id="29175" name="직선 화살표 연결선 29174"/>
        <xdr:cNvCxnSpPr/>
      </xdr:nvCxnSpPr>
      <xdr:spPr>
        <a:xfrm>
          <a:off x="10940143" y="204978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66403</xdr:colOff>
      <xdr:row>11</xdr:row>
      <xdr:rowOff>19050</xdr:rowOff>
    </xdr:from>
    <xdr:to>
      <xdr:col>33</xdr:col>
      <xdr:colOff>399687</xdr:colOff>
      <xdr:row>11</xdr:row>
      <xdr:rowOff>133350</xdr:rowOff>
    </xdr:to>
    <xdr:sp macro="" textlink="">
      <xdr:nvSpPr>
        <xdr:cNvPr id="29176" name="8"/>
        <xdr:cNvSpPr/>
      </xdr:nvSpPr>
      <xdr:spPr>
        <a:xfrm>
          <a:off x="10010503" y="1840230"/>
          <a:ext cx="7981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66403</xdr:colOff>
      <xdr:row>11</xdr:row>
      <xdr:rowOff>76200</xdr:rowOff>
    </xdr:from>
    <xdr:to>
      <xdr:col>33</xdr:col>
      <xdr:colOff>398417</xdr:colOff>
      <xdr:row>11</xdr:row>
      <xdr:rowOff>76200</xdr:rowOff>
    </xdr:to>
    <xdr:cxnSp macro="">
      <xdr:nvCxnSpPr>
        <xdr:cNvPr id="29177" name="직선 화살표 연결선 29176"/>
        <xdr:cNvCxnSpPr/>
      </xdr:nvCxnSpPr>
      <xdr:spPr>
        <a:xfrm>
          <a:off x="10010503" y="1897380"/>
          <a:ext cx="796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10</xdr:row>
      <xdr:rowOff>19050</xdr:rowOff>
    </xdr:from>
    <xdr:to>
      <xdr:col>31</xdr:col>
      <xdr:colOff>399687</xdr:colOff>
      <xdr:row>10</xdr:row>
      <xdr:rowOff>133350</xdr:rowOff>
    </xdr:to>
    <xdr:sp macro="" textlink="">
      <xdr:nvSpPr>
        <xdr:cNvPr id="29178" name="7"/>
        <xdr:cNvSpPr/>
      </xdr:nvSpPr>
      <xdr:spPr>
        <a:xfrm>
          <a:off x="9545683" y="1687830"/>
          <a:ext cx="3332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10</xdr:row>
      <xdr:rowOff>76200</xdr:rowOff>
    </xdr:from>
    <xdr:to>
      <xdr:col>31</xdr:col>
      <xdr:colOff>398417</xdr:colOff>
      <xdr:row>10</xdr:row>
      <xdr:rowOff>76200</xdr:rowOff>
    </xdr:to>
    <xdr:cxnSp macro="">
      <xdr:nvCxnSpPr>
        <xdr:cNvPr id="29179" name="직선 화살표 연결선 29178"/>
        <xdr:cNvCxnSpPr/>
      </xdr:nvCxnSpPr>
      <xdr:spPr>
        <a:xfrm>
          <a:off x="9545683" y="1744980"/>
          <a:ext cx="3320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9</xdr:row>
      <xdr:rowOff>19050</xdr:rowOff>
    </xdr:from>
    <xdr:to>
      <xdr:col>35</xdr:col>
      <xdr:colOff>399688</xdr:colOff>
      <xdr:row>9</xdr:row>
      <xdr:rowOff>133350</xdr:rowOff>
    </xdr:to>
    <xdr:sp macro="" textlink="">
      <xdr:nvSpPr>
        <xdr:cNvPr id="29180" name="6"/>
        <xdr:cNvSpPr/>
      </xdr:nvSpPr>
      <xdr:spPr>
        <a:xfrm>
          <a:off x="9545683" y="1535430"/>
          <a:ext cx="21925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9</xdr:row>
      <xdr:rowOff>76200</xdr:rowOff>
    </xdr:from>
    <xdr:to>
      <xdr:col>35</xdr:col>
      <xdr:colOff>398417</xdr:colOff>
      <xdr:row>9</xdr:row>
      <xdr:rowOff>76200</xdr:rowOff>
    </xdr:to>
    <xdr:cxnSp macro="">
      <xdr:nvCxnSpPr>
        <xdr:cNvPr id="29181" name="직선 화살표 연결선 29180"/>
        <xdr:cNvCxnSpPr/>
      </xdr:nvCxnSpPr>
      <xdr:spPr>
        <a:xfrm>
          <a:off x="9545683" y="1592580"/>
          <a:ext cx="21912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132805</xdr:colOff>
      <xdr:row>8</xdr:row>
      <xdr:rowOff>19050</xdr:rowOff>
    </xdr:from>
    <xdr:to>
      <xdr:col>31</xdr:col>
      <xdr:colOff>266881</xdr:colOff>
      <xdr:row>8</xdr:row>
      <xdr:rowOff>133350</xdr:rowOff>
    </xdr:to>
    <xdr:sp macro="" textlink="">
      <xdr:nvSpPr>
        <xdr:cNvPr id="29182" name="5"/>
        <xdr:cNvSpPr/>
      </xdr:nvSpPr>
      <xdr:spPr>
        <a:xfrm>
          <a:off x="9612085" y="1383030"/>
          <a:ext cx="1340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132805</xdr:colOff>
      <xdr:row>8</xdr:row>
      <xdr:rowOff>76200</xdr:rowOff>
    </xdr:from>
    <xdr:to>
      <xdr:col>31</xdr:col>
      <xdr:colOff>265611</xdr:colOff>
      <xdr:row>8</xdr:row>
      <xdr:rowOff>76200</xdr:rowOff>
    </xdr:to>
    <xdr:cxnSp macro="">
      <xdr:nvCxnSpPr>
        <xdr:cNvPr id="29183" name="직선 화살표 연결선 29182"/>
        <xdr:cNvCxnSpPr/>
      </xdr:nvCxnSpPr>
      <xdr:spPr>
        <a:xfrm>
          <a:off x="9612085" y="14401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132805</xdr:colOff>
      <xdr:row>7</xdr:row>
      <xdr:rowOff>19050</xdr:rowOff>
    </xdr:from>
    <xdr:to>
      <xdr:col>31</xdr:col>
      <xdr:colOff>266881</xdr:colOff>
      <xdr:row>7</xdr:row>
      <xdr:rowOff>133350</xdr:rowOff>
    </xdr:to>
    <xdr:sp macro="" textlink="">
      <xdr:nvSpPr>
        <xdr:cNvPr id="29184" name="4"/>
        <xdr:cNvSpPr/>
      </xdr:nvSpPr>
      <xdr:spPr>
        <a:xfrm>
          <a:off x="9612085" y="1230630"/>
          <a:ext cx="1340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132805</xdr:colOff>
      <xdr:row>7</xdr:row>
      <xdr:rowOff>76200</xdr:rowOff>
    </xdr:from>
    <xdr:to>
      <xdr:col>31</xdr:col>
      <xdr:colOff>265611</xdr:colOff>
      <xdr:row>7</xdr:row>
      <xdr:rowOff>76200</xdr:rowOff>
    </xdr:to>
    <xdr:cxnSp macro="">
      <xdr:nvCxnSpPr>
        <xdr:cNvPr id="29185" name="직선 화살표 연결선 29184"/>
        <xdr:cNvCxnSpPr/>
      </xdr:nvCxnSpPr>
      <xdr:spPr>
        <a:xfrm>
          <a:off x="9612085" y="1287780"/>
          <a:ext cx="132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6</xdr:row>
      <xdr:rowOff>19050</xdr:rowOff>
    </xdr:from>
    <xdr:to>
      <xdr:col>31</xdr:col>
      <xdr:colOff>134075</xdr:colOff>
      <xdr:row>6</xdr:row>
      <xdr:rowOff>133350</xdr:rowOff>
    </xdr:to>
    <xdr:sp macro="" textlink="">
      <xdr:nvSpPr>
        <xdr:cNvPr id="29186" name="3"/>
        <xdr:cNvSpPr/>
      </xdr:nvSpPr>
      <xdr:spPr>
        <a:xfrm>
          <a:off x="9545683" y="1078230"/>
          <a:ext cx="676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6</xdr:row>
      <xdr:rowOff>76200</xdr:rowOff>
    </xdr:from>
    <xdr:to>
      <xdr:col>31</xdr:col>
      <xdr:colOff>132805</xdr:colOff>
      <xdr:row>6</xdr:row>
      <xdr:rowOff>76200</xdr:rowOff>
    </xdr:to>
    <xdr:cxnSp macro="">
      <xdr:nvCxnSpPr>
        <xdr:cNvPr id="29187" name="직선 화살표 연결선 29186"/>
        <xdr:cNvCxnSpPr/>
      </xdr:nvCxnSpPr>
      <xdr:spPr>
        <a:xfrm>
          <a:off x="9545683" y="1135380"/>
          <a:ext cx="664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5</xdr:row>
      <xdr:rowOff>19050</xdr:rowOff>
    </xdr:from>
    <xdr:to>
      <xdr:col>31</xdr:col>
      <xdr:colOff>266881</xdr:colOff>
      <xdr:row>5</xdr:row>
      <xdr:rowOff>133350</xdr:rowOff>
    </xdr:to>
    <xdr:sp macro="" textlink="">
      <xdr:nvSpPr>
        <xdr:cNvPr id="29188" name="2"/>
        <xdr:cNvSpPr/>
      </xdr:nvSpPr>
      <xdr:spPr>
        <a:xfrm>
          <a:off x="9545683" y="925830"/>
          <a:ext cx="2004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5</xdr:row>
      <xdr:rowOff>76200</xdr:rowOff>
    </xdr:from>
    <xdr:to>
      <xdr:col>31</xdr:col>
      <xdr:colOff>265611</xdr:colOff>
      <xdr:row>5</xdr:row>
      <xdr:rowOff>76200</xdr:rowOff>
    </xdr:to>
    <xdr:cxnSp macro="">
      <xdr:nvCxnSpPr>
        <xdr:cNvPr id="29189" name="직선 화살표 연결선 29188"/>
        <xdr:cNvCxnSpPr/>
      </xdr:nvCxnSpPr>
      <xdr:spPr>
        <a:xfrm>
          <a:off x="9545683" y="982980"/>
          <a:ext cx="199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66403</xdr:colOff>
      <xdr:row>4</xdr:row>
      <xdr:rowOff>19050</xdr:rowOff>
    </xdr:from>
    <xdr:to>
      <xdr:col>36</xdr:col>
      <xdr:colOff>333284</xdr:colOff>
      <xdr:row>4</xdr:row>
      <xdr:rowOff>133350</xdr:rowOff>
    </xdr:to>
    <xdr:sp macro="" textlink="">
      <xdr:nvSpPr>
        <xdr:cNvPr id="29190" name="1"/>
        <xdr:cNvSpPr/>
      </xdr:nvSpPr>
      <xdr:spPr>
        <a:xfrm>
          <a:off x="9545683" y="773430"/>
          <a:ext cx="25909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66403</xdr:colOff>
      <xdr:row>4</xdr:row>
      <xdr:rowOff>76200</xdr:rowOff>
    </xdr:from>
    <xdr:to>
      <xdr:col>36</xdr:col>
      <xdr:colOff>332014</xdr:colOff>
      <xdr:row>4</xdr:row>
      <xdr:rowOff>76200</xdr:rowOff>
    </xdr:to>
    <xdr:cxnSp macro="">
      <xdr:nvCxnSpPr>
        <xdr:cNvPr id="29191" name="직선 화살표 연결선 29190"/>
        <xdr:cNvCxnSpPr/>
      </xdr:nvCxnSpPr>
      <xdr:spPr>
        <a:xfrm>
          <a:off x="9545683" y="830580"/>
          <a:ext cx="2589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1561</v>
      </c>
      <c r="D11" s="70" t="s">
        <v>24</v>
      </c>
      <c r="E11" s="79">
        <v>1</v>
      </c>
      <c r="F11" s="80" t="s">
        <v>25</v>
      </c>
      <c r="G11" s="81">
        <v>44025</v>
      </c>
      <c r="H11" s="80" t="s">
        <v>26</v>
      </c>
      <c r="I11" s="81">
        <v>44063</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0</v>
      </c>
      <c r="J12" s="73" t="s">
        <v>398</v>
      </c>
      <c r="K12" s="73">
        <v>0.7</v>
      </c>
      <c r="L12" s="73" t="s">
        <v>399</v>
      </c>
      <c r="M12" s="73">
        <v>2</v>
      </c>
      <c r="N12" s="73" t="s">
        <v>400</v>
      </c>
      <c r="O12" s="73">
        <v>0</v>
      </c>
      <c r="P12" s="73" t="s">
        <v>403</v>
      </c>
      <c r="Q12" s="73">
        <v>1</v>
      </c>
      <c r="R12" s="73" t="s">
        <v>410</v>
      </c>
      <c r="S12" s="73">
        <v>7</v>
      </c>
      <c r="T12" s="73" t="s">
        <v>411</v>
      </c>
      <c r="U12" s="73">
        <v>0</v>
      </c>
      <c r="V12" s="73" t="s">
        <v>412</v>
      </c>
      <c r="W12" s="73">
        <v>449</v>
      </c>
      <c r="X12" s="73" t="s">
        <v>413</v>
      </c>
      <c r="Y12" s="73">
        <v>0</v>
      </c>
      <c r="Z12" s="73" t="s">
        <v>416</v>
      </c>
      <c r="AA12" s="73">
        <v>0</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4" t="s">
        <v>1336</v>
      </c>
      <c r="B1" s="234"/>
      <c r="C1" s="234"/>
      <c r="D1" s="234"/>
      <c r="E1" s="234"/>
      <c r="F1" s="234"/>
      <c r="G1" s="234"/>
      <c r="H1" s="113"/>
      <c r="I1" s="113"/>
      <c r="J1" s="237" t="s">
        <v>1268</v>
      </c>
      <c r="K1" s="237"/>
      <c r="L1" s="237"/>
    </row>
    <row r="2" spans="1:12" s="115" customFormat="1" ht="33.75" customHeight="1">
      <c r="A2" s="235"/>
      <c r="B2" s="235"/>
      <c r="C2" s="235"/>
      <c r="D2" s="235"/>
      <c r="E2" s="235"/>
      <c r="F2" s="235"/>
      <c r="G2" s="235"/>
      <c r="H2" s="138"/>
      <c r="I2" s="238" t="s">
        <v>1337</v>
      </c>
      <c r="J2" s="239"/>
      <c r="K2" s="239"/>
      <c r="L2" s="239"/>
    </row>
    <row r="4" spans="1:12" ht="17.25" customHeight="1">
      <c r="B4" s="240" t="s">
        <v>1338</v>
      </c>
      <c r="C4" s="240"/>
      <c r="D4" s="240"/>
      <c r="E4" s="240"/>
      <c r="F4" s="240"/>
      <c r="G4" s="240"/>
      <c r="H4" s="240"/>
      <c r="I4" s="240"/>
      <c r="J4" s="240"/>
      <c r="K4" s="240"/>
      <c r="L4" s="240"/>
    </row>
    <row r="5" spans="1:12" ht="27.75" customHeight="1">
      <c r="B5" s="240"/>
      <c r="C5" s="240"/>
      <c r="D5" s="240"/>
      <c r="E5" s="240"/>
      <c r="F5" s="240"/>
      <c r="G5" s="240"/>
      <c r="H5" s="240"/>
      <c r="I5" s="240"/>
      <c r="J5" s="240"/>
      <c r="K5" s="240"/>
      <c r="L5" s="240"/>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33" t="s">
        <v>1161</v>
      </c>
      <c r="E9" s="233"/>
      <c r="F9" s="233"/>
      <c r="G9" s="233"/>
      <c r="H9" s="233"/>
      <c r="I9" s="233"/>
      <c r="J9" s="233"/>
      <c r="K9" s="233"/>
      <c r="L9" s="233"/>
    </row>
    <row r="10" spans="1:12" s="115" customFormat="1" ht="27.75" customHeight="1" thickTop="1" thickBot="1">
      <c r="A10" s="119"/>
      <c r="B10" s="121" t="s">
        <v>544</v>
      </c>
      <c r="C10" s="119"/>
      <c r="D10" s="233" t="s">
        <v>1340</v>
      </c>
      <c r="E10" s="233"/>
      <c r="F10" s="233"/>
      <c r="G10" s="233"/>
      <c r="H10" s="233"/>
      <c r="I10" s="233"/>
      <c r="J10" s="233"/>
      <c r="K10" s="233"/>
      <c r="L10" s="233"/>
    </row>
    <row r="11" spans="1:12" s="115" customFormat="1" ht="27.75" customHeight="1" thickTop="1" thickBot="1">
      <c r="A11" s="119"/>
      <c r="B11" s="122" t="s">
        <v>545</v>
      </c>
      <c r="C11" s="119"/>
      <c r="D11" s="233" t="s">
        <v>1341</v>
      </c>
      <c r="E11" s="233"/>
      <c r="F11" s="233"/>
      <c r="G11" s="233"/>
      <c r="H11" s="233"/>
      <c r="I11" s="233"/>
      <c r="J11" s="233"/>
      <c r="K11" s="233"/>
      <c r="L11" s="233"/>
    </row>
    <row r="12" spans="1:12" s="115" customFormat="1" ht="27.75" customHeight="1" thickTop="1" thickBot="1">
      <c r="A12" s="119"/>
      <c r="B12" s="123" t="s">
        <v>546</v>
      </c>
      <c r="C12" s="119"/>
      <c r="D12" s="233" t="s">
        <v>1342</v>
      </c>
      <c r="E12" s="233"/>
      <c r="F12" s="233"/>
      <c r="G12" s="233"/>
      <c r="H12" s="233"/>
      <c r="I12" s="233"/>
      <c r="J12" s="233"/>
      <c r="K12" s="233"/>
      <c r="L12" s="233"/>
    </row>
    <row r="13" spans="1:12" s="115" customFormat="1" ht="27.75" customHeight="1" thickTop="1" thickBot="1">
      <c r="A13" s="119"/>
      <c r="B13" s="124" t="s">
        <v>1105</v>
      </c>
      <c r="C13" s="119"/>
      <c r="D13" s="233" t="s">
        <v>1214</v>
      </c>
      <c r="E13" s="233"/>
      <c r="F13" s="233"/>
      <c r="G13" s="233"/>
      <c r="H13" s="233"/>
      <c r="I13" s="233"/>
      <c r="J13" s="233"/>
      <c r="K13" s="233"/>
      <c r="L13" s="233"/>
    </row>
    <row r="14" spans="1:12" s="115" customFormat="1" ht="27.75" customHeight="1" thickTop="1" thickBot="1">
      <c r="A14" s="119"/>
      <c r="B14" s="124" t="s">
        <v>1022</v>
      </c>
      <c r="C14" s="119"/>
      <c r="D14" s="241" t="s">
        <v>1343</v>
      </c>
      <c r="E14" s="241"/>
      <c r="F14" s="241"/>
      <c r="G14" s="241"/>
      <c r="H14" s="241"/>
      <c r="I14" s="241"/>
      <c r="J14" s="241"/>
      <c r="K14" s="241"/>
      <c r="L14" s="241"/>
    </row>
    <row r="15" spans="1:12" s="115" customFormat="1" ht="27.75" customHeight="1" thickTop="1" thickBot="1">
      <c r="A15" s="119"/>
      <c r="B15" s="125" t="s">
        <v>547</v>
      </c>
      <c r="C15" s="119"/>
      <c r="D15" s="233" t="s">
        <v>1344</v>
      </c>
      <c r="E15" s="233"/>
      <c r="F15" s="233"/>
      <c r="G15" s="233"/>
      <c r="H15" s="233"/>
      <c r="I15" s="233"/>
      <c r="J15" s="233"/>
      <c r="K15" s="233"/>
      <c r="L15" s="233"/>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32" t="s">
        <v>1357</v>
      </c>
      <c r="E19" s="232"/>
      <c r="F19" s="232"/>
      <c r="G19" s="232"/>
      <c r="H19" s="232"/>
      <c r="I19" s="232"/>
      <c r="J19" s="232"/>
      <c r="K19" s="232"/>
      <c r="L19" s="137" t="s">
        <v>1190</v>
      </c>
    </row>
    <row r="20" spans="2:12" s="115" customFormat="1" ht="41.25" customHeight="1" thickTop="1" thickBot="1">
      <c r="B20" s="130" t="s">
        <v>1347</v>
      </c>
      <c r="D20" s="232" t="s">
        <v>1358</v>
      </c>
      <c r="E20" s="232"/>
      <c r="F20" s="232"/>
      <c r="G20" s="232"/>
      <c r="H20" s="232"/>
      <c r="I20" s="232"/>
      <c r="J20" s="232"/>
      <c r="K20" s="232"/>
      <c r="L20" s="137" t="s">
        <v>1190</v>
      </c>
    </row>
    <row r="21" spans="2:12" s="115" customFormat="1" ht="37.5" customHeight="1" thickTop="1" thickBot="1">
      <c r="B21" s="130" t="s">
        <v>1348</v>
      </c>
      <c r="D21" s="232" t="s">
        <v>1359</v>
      </c>
      <c r="E21" s="232"/>
      <c r="F21" s="232"/>
      <c r="G21" s="232"/>
      <c r="H21" s="232"/>
      <c r="I21" s="232"/>
      <c r="J21" s="232"/>
      <c r="K21" s="232"/>
      <c r="L21" s="137" t="s">
        <v>1190</v>
      </c>
    </row>
    <row r="22" spans="2:12" s="115" customFormat="1" ht="41.25" customHeight="1" thickTop="1" thickBot="1">
      <c r="B22" s="130" t="s">
        <v>1349</v>
      </c>
      <c r="D22" s="232" t="s">
        <v>1360</v>
      </c>
      <c r="E22" s="232"/>
      <c r="F22" s="232"/>
      <c r="G22" s="232"/>
      <c r="H22" s="232"/>
      <c r="I22" s="232"/>
      <c r="J22" s="232"/>
      <c r="K22" s="232"/>
      <c r="L22" s="137" t="s">
        <v>1190</v>
      </c>
    </row>
    <row r="23" spans="2:12" s="115" customFormat="1" ht="36" customHeight="1" thickTop="1" thickBot="1">
      <c r="B23" s="130" t="s">
        <v>1350</v>
      </c>
      <c r="D23" s="232" t="s">
        <v>1232</v>
      </c>
      <c r="E23" s="232"/>
      <c r="F23" s="232"/>
      <c r="G23" s="232"/>
      <c r="H23" s="232"/>
      <c r="I23" s="232"/>
      <c r="J23" s="232"/>
      <c r="K23" s="232"/>
      <c r="L23" s="137" t="s">
        <v>1190</v>
      </c>
    </row>
    <row r="24" spans="2:12" s="115" customFormat="1" ht="52.5" customHeight="1" thickTop="1" thickBot="1">
      <c r="B24" s="130" t="s">
        <v>1351</v>
      </c>
      <c r="D24" s="232" t="s">
        <v>1361</v>
      </c>
      <c r="E24" s="232"/>
      <c r="F24" s="232"/>
      <c r="G24" s="232"/>
      <c r="H24" s="232"/>
      <c r="I24" s="232"/>
      <c r="J24" s="232"/>
      <c r="K24" s="232"/>
      <c r="L24" s="137" t="s">
        <v>1190</v>
      </c>
    </row>
    <row r="25" spans="2:12" s="115" customFormat="1" ht="57" customHeight="1" thickTop="1" thickBot="1">
      <c r="B25" s="130" t="s">
        <v>1352</v>
      </c>
      <c r="D25" s="232" t="s">
        <v>1362</v>
      </c>
      <c r="E25" s="232"/>
      <c r="F25" s="232"/>
      <c r="G25" s="232"/>
      <c r="H25" s="232"/>
      <c r="I25" s="232"/>
      <c r="J25" s="232"/>
      <c r="K25" s="232"/>
      <c r="L25" s="137" t="s">
        <v>1190</v>
      </c>
    </row>
    <row r="26" spans="2:12" s="115" customFormat="1" ht="48.75" customHeight="1" thickTop="1" thickBot="1">
      <c r="B26" s="130" t="s">
        <v>1353</v>
      </c>
      <c r="D26" s="232" t="s">
        <v>1363</v>
      </c>
      <c r="E26" s="232"/>
      <c r="F26" s="232"/>
      <c r="G26" s="232"/>
      <c r="H26" s="232"/>
      <c r="I26" s="232"/>
      <c r="J26" s="232"/>
      <c r="K26" s="232"/>
      <c r="L26" s="137" t="s">
        <v>1190</v>
      </c>
    </row>
    <row r="27" spans="2:12" s="115" customFormat="1" ht="43.5" customHeight="1" thickTop="1" thickBot="1">
      <c r="B27" s="130" t="s">
        <v>1354</v>
      </c>
      <c r="D27" s="232" t="s">
        <v>1364</v>
      </c>
      <c r="E27" s="232"/>
      <c r="F27" s="232"/>
      <c r="G27" s="232"/>
      <c r="H27" s="232"/>
      <c r="I27" s="232"/>
      <c r="J27" s="232"/>
      <c r="K27" s="232"/>
      <c r="L27" s="137" t="s">
        <v>1190</v>
      </c>
    </row>
    <row r="28" spans="2:12" s="115" customFormat="1" ht="43.5" customHeight="1" thickTop="1" thickBot="1">
      <c r="B28" s="130" t="s">
        <v>1355</v>
      </c>
      <c r="D28" s="232" t="s">
        <v>1365</v>
      </c>
      <c r="E28" s="232"/>
      <c r="F28" s="232"/>
      <c r="G28" s="232"/>
      <c r="H28" s="232"/>
      <c r="I28" s="232"/>
      <c r="J28" s="232"/>
      <c r="K28" s="232"/>
      <c r="L28" s="137" t="s">
        <v>1190</v>
      </c>
    </row>
    <row r="29" spans="2:12" s="115" customFormat="1" ht="50.25" customHeight="1" thickTop="1" thickBot="1">
      <c r="B29" s="130" t="s">
        <v>546</v>
      </c>
      <c r="D29" s="232" t="s">
        <v>1238</v>
      </c>
      <c r="E29" s="232"/>
      <c r="F29" s="232"/>
      <c r="G29" s="232"/>
      <c r="H29" s="232"/>
      <c r="I29" s="232"/>
      <c r="J29" s="232"/>
      <c r="K29" s="232"/>
      <c r="L29" s="137" t="s">
        <v>1190</v>
      </c>
    </row>
    <row r="30" spans="2:12" s="115" customFormat="1" ht="57.75" customHeight="1" thickTop="1" thickBot="1">
      <c r="B30" s="130" t="s">
        <v>1188</v>
      </c>
      <c r="D30" s="232" t="s">
        <v>1366</v>
      </c>
      <c r="E30" s="232"/>
      <c r="F30" s="232"/>
      <c r="G30" s="232"/>
      <c r="H30" s="232"/>
      <c r="I30" s="232"/>
      <c r="J30" s="232"/>
      <c r="K30" s="232"/>
      <c r="L30" s="137" t="s">
        <v>1190</v>
      </c>
    </row>
    <row r="31" spans="2:12" s="115" customFormat="1" ht="67.5" customHeight="1" thickTop="1" thickBot="1">
      <c r="B31" s="130" t="s">
        <v>1356</v>
      </c>
      <c r="D31" s="232" t="s">
        <v>1240</v>
      </c>
      <c r="E31" s="232"/>
      <c r="F31" s="232"/>
      <c r="G31" s="232"/>
      <c r="H31" s="232"/>
      <c r="I31" s="232"/>
      <c r="J31" s="232"/>
      <c r="K31" s="232"/>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36" t="s">
        <v>1367</v>
      </c>
      <c r="C34" s="236"/>
      <c r="D34" s="236"/>
      <c r="E34" s="236"/>
      <c r="F34" s="236"/>
      <c r="G34" s="236"/>
      <c r="H34" s="236"/>
      <c r="I34" s="236"/>
      <c r="J34" s="236"/>
      <c r="K34" s="236"/>
      <c r="L34" s="236"/>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93"/>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6"/>
  <cols>
    <col min="1" max="1" width="9.09765625" style="188" hidden="1" customWidth="1"/>
    <col min="2" max="2" width="9" style="188" hidden="1" customWidth="1"/>
    <col min="3" max="3" width="8.3984375" style="188" hidden="1" customWidth="1"/>
    <col min="4" max="4" width="9.69921875" style="189" customWidth="1"/>
    <col min="5" max="14" width="2.69921875" style="190" customWidth="1"/>
    <col min="15" max="15" width="12.8984375" style="190"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9.8984375" style="192" customWidth="1"/>
    <col min="29" max="29" width="8" style="196" customWidth="1"/>
    <col min="30" max="30" width="7.69921875" style="197" bestFit="1" customWidth="1"/>
    <col min="31" max="31" width="7.19921875" style="198" customWidth="1"/>
    <col min="32" max="73" width="6.09765625" style="176" customWidth="1"/>
    <col min="74" max="16384" width="10" style="176"/>
  </cols>
  <sheetData>
    <row r="1" spans="1:73" s="159" customFormat="1" ht="19.95" customHeight="1">
      <c r="A1" s="202"/>
      <c r="B1" s="203"/>
      <c r="C1" s="204"/>
      <c r="D1" s="205" t="str" cm="1">
        <f t="array" aca="1" ref="D1" ca="1">xlgantt.ProjectName()</f>
        <v>HoneyCombo</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str" cm="1">
        <f t="array" aca="1" ref="AE1" ca="1">xlgantt.ProjectProgressString()</f>
        <v>2020-07-13~2020-08-20 [계획:99.09% 실적:100.00%]</v>
      </c>
      <c r="AF1" s="224" t="s">
        <v>1574</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73" s="159" customFormat="1" ht="15" customHeight="1">
      <c r="A2" s="202"/>
      <c r="B2" s="202"/>
      <c r="C2" s="204"/>
      <c r="D2" s="259"/>
      <c r="E2" s="259"/>
      <c r="F2" s="259"/>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str" cm="1">
        <f t="array" aca="1" ref="AE2" ca="1">xlgantt.CommentOnHeadArea()</f>
        <v>별(*)표시는 필수입력, 주황색열은 자동계산</v>
      </c>
      <c r="AF2" s="230" t="s">
        <v>1425</v>
      </c>
      <c r="AG2" s="230" t="s">
        <v>1569</v>
      </c>
      <c r="AH2" s="230" t="s">
        <v>1567</v>
      </c>
      <c r="AI2" s="230" t="s">
        <v>1571</v>
      </c>
      <c r="AJ2" s="230" t="s">
        <v>1551</v>
      </c>
      <c r="AK2" s="230" t="s">
        <v>1573</v>
      </c>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row>
    <row r="3" spans="1:73" s="160" customFormat="1" ht="19.05" customHeight="1">
      <c r="A3" s="250" t="s">
        <v>567</v>
      </c>
      <c r="B3" s="252" t="s">
        <v>559</v>
      </c>
      <c r="C3" s="254" t="s">
        <v>569</v>
      </c>
      <c r="D3" s="255" t="s">
        <v>560</v>
      </c>
      <c r="E3" s="256" t="s">
        <v>1318</v>
      </c>
      <c r="F3" s="257"/>
      <c r="G3" s="257"/>
      <c r="H3" s="257"/>
      <c r="I3" s="257"/>
      <c r="J3" s="257"/>
      <c r="K3" s="257"/>
      <c r="L3" s="257"/>
      <c r="M3" s="257"/>
      <c r="N3" s="257"/>
      <c r="O3" s="248" t="s">
        <v>1319</v>
      </c>
      <c r="P3" s="248" t="s">
        <v>1320</v>
      </c>
      <c r="Q3" s="248" t="s">
        <v>1321</v>
      </c>
      <c r="R3" s="267" t="s">
        <v>561</v>
      </c>
      <c r="S3" s="260" t="s">
        <v>1322</v>
      </c>
      <c r="T3" s="269" t="s">
        <v>1323</v>
      </c>
      <c r="U3" s="260" t="s">
        <v>1324</v>
      </c>
      <c r="V3" s="260" t="s">
        <v>1325</v>
      </c>
      <c r="W3" s="262" t="s">
        <v>1326</v>
      </c>
      <c r="X3" s="262" t="s">
        <v>1327</v>
      </c>
      <c r="Y3" s="244" t="s">
        <v>1328</v>
      </c>
      <c r="Z3" s="263" t="s">
        <v>1329</v>
      </c>
      <c r="AA3" s="246" t="s">
        <v>1330</v>
      </c>
      <c r="AB3" s="248" t="s">
        <v>1331</v>
      </c>
      <c r="AC3" s="242" t="s">
        <v>1332</v>
      </c>
      <c r="AD3" s="271" t="s">
        <v>1333</v>
      </c>
      <c r="AE3" s="265" t="s">
        <v>1334</v>
      </c>
      <c r="AF3" s="231" t="s">
        <v>1549</v>
      </c>
      <c r="AG3" s="229" t="s">
        <v>1568</v>
      </c>
      <c r="AH3" s="229" t="s">
        <v>1566</v>
      </c>
      <c r="AI3" s="229" t="s">
        <v>1570</v>
      </c>
      <c r="AJ3" s="229" t="s">
        <v>1550</v>
      </c>
      <c r="AK3" s="282" t="s">
        <v>1572</v>
      </c>
    </row>
    <row r="4" spans="1:73" s="161" customFormat="1" ht="6" customHeight="1">
      <c r="A4" s="251"/>
      <c r="B4" s="253"/>
      <c r="C4" s="250"/>
      <c r="D4" s="243"/>
      <c r="E4" s="258"/>
      <c r="F4" s="257"/>
      <c r="G4" s="257"/>
      <c r="H4" s="257"/>
      <c r="I4" s="257"/>
      <c r="J4" s="257"/>
      <c r="K4" s="257"/>
      <c r="L4" s="257"/>
      <c r="M4" s="257"/>
      <c r="N4" s="257"/>
      <c r="O4" s="249"/>
      <c r="P4" s="249"/>
      <c r="Q4" s="249"/>
      <c r="R4" s="268"/>
      <c r="S4" s="261"/>
      <c r="T4" s="270"/>
      <c r="U4" s="261"/>
      <c r="V4" s="261"/>
      <c r="W4" s="249"/>
      <c r="X4" s="249"/>
      <c r="Y4" s="245"/>
      <c r="Z4" s="264"/>
      <c r="AA4" s="247"/>
      <c r="AB4" s="249"/>
      <c r="AC4" s="243"/>
      <c r="AD4" s="272"/>
      <c r="AE4" s="266"/>
      <c r="AF4" s="199">
        <v>44024</v>
      </c>
      <c r="AG4" s="200">
        <v>44031</v>
      </c>
      <c r="AH4" s="200">
        <v>44038</v>
      </c>
      <c r="AI4" s="200">
        <v>44045</v>
      </c>
      <c r="AJ4" s="200">
        <v>44052</v>
      </c>
      <c r="AK4" s="281">
        <v>44059</v>
      </c>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row>
    <row r="5" spans="1:73" ht="12" customHeight="1">
      <c r="A5" s="162"/>
      <c r="B5" s="162" t="s">
        <v>1437</v>
      </c>
      <c r="C5" s="162">
        <v>1</v>
      </c>
      <c r="D5" s="163" t="s">
        <v>1037</v>
      </c>
      <c r="E5" s="164" t="s">
        <v>1474</v>
      </c>
      <c r="F5" s="164"/>
      <c r="G5" s="164"/>
      <c r="H5" s="164"/>
      <c r="I5" s="164"/>
      <c r="J5" s="164"/>
      <c r="K5" s="164"/>
      <c r="L5" s="164"/>
      <c r="M5" s="164"/>
      <c r="N5" s="164"/>
      <c r="O5" s="164"/>
      <c r="P5" s="165">
        <v>44025</v>
      </c>
      <c r="Q5" s="165">
        <v>44063</v>
      </c>
      <c r="R5" s="166"/>
      <c r="S5" s="167">
        <v>32</v>
      </c>
      <c r="T5" s="167">
        <v>31</v>
      </c>
      <c r="U5" s="167">
        <v>28</v>
      </c>
      <c r="V5" s="167">
        <v>27</v>
      </c>
      <c r="W5" s="165"/>
      <c r="X5" s="165"/>
      <c r="Y5" s="168">
        <v>0</v>
      </c>
      <c r="Z5" s="169">
        <v>0</v>
      </c>
      <c r="AA5" s="167"/>
      <c r="AB5" s="166"/>
      <c r="AC5" s="170"/>
      <c r="AD5" s="171">
        <v>0.96875</v>
      </c>
      <c r="AE5" s="172">
        <v>1</v>
      </c>
      <c r="AF5" s="173"/>
      <c r="AG5" s="174"/>
      <c r="AH5" s="174"/>
      <c r="AI5" s="174"/>
      <c r="AJ5" s="174"/>
      <c r="AK5" s="174" t="str">
        <f>"                      " &amp; "프로젝트 관리" &amp; " " &amp; ""</f>
        <v xml:space="preserve">                      프로젝트 관리 </v>
      </c>
      <c r="AL5" s="174"/>
    </row>
    <row r="6" spans="1:73" ht="12" customHeight="1" outlineLevel="1">
      <c r="A6" s="162"/>
      <c r="B6" s="162" t="s">
        <v>1437</v>
      </c>
      <c r="C6" s="162">
        <v>2</v>
      </c>
      <c r="D6" s="163" t="s">
        <v>1111</v>
      </c>
      <c r="E6" s="164"/>
      <c r="F6" s="164" t="s">
        <v>1475</v>
      </c>
      <c r="G6" s="164"/>
      <c r="H6" s="164"/>
      <c r="I6" s="164"/>
      <c r="J6" s="164"/>
      <c r="K6" s="164"/>
      <c r="L6" s="164"/>
      <c r="M6" s="164"/>
      <c r="N6" s="164"/>
      <c r="O6" s="164"/>
      <c r="P6" s="165">
        <v>44025</v>
      </c>
      <c r="Q6" s="165">
        <v>44027</v>
      </c>
      <c r="R6" s="166"/>
      <c r="S6" s="167">
        <v>3</v>
      </c>
      <c r="T6" s="167">
        <v>3</v>
      </c>
      <c r="U6" s="167">
        <v>3</v>
      </c>
      <c r="V6" s="167">
        <v>3</v>
      </c>
      <c r="W6" s="165"/>
      <c r="X6" s="165"/>
      <c r="Y6" s="168">
        <v>0</v>
      </c>
      <c r="Z6" s="169">
        <v>0</v>
      </c>
      <c r="AA6" s="167"/>
      <c r="AB6" s="166"/>
      <c r="AC6" s="170"/>
      <c r="AD6" s="171">
        <v>1</v>
      </c>
      <c r="AE6" s="172">
        <v>1</v>
      </c>
      <c r="AF6" s="173" t="str">
        <f>"                  " &amp; "프로젝트 착수 및 계획수립" &amp; " " &amp; ""</f>
        <v xml:space="preserve">                  프로젝트 착수 및 계획수립 </v>
      </c>
      <c r="AG6" s="174"/>
      <c r="AH6" s="174"/>
      <c r="AI6" s="174"/>
      <c r="AJ6" s="174"/>
      <c r="AK6" s="174"/>
      <c r="AL6" s="174"/>
    </row>
    <row r="7" spans="1:73" ht="12" customHeight="1" outlineLevel="2">
      <c r="A7" s="162"/>
      <c r="B7" s="162"/>
      <c r="C7" s="162">
        <v>3</v>
      </c>
      <c r="D7" s="163" t="s">
        <v>1112</v>
      </c>
      <c r="E7" s="164"/>
      <c r="F7" s="164"/>
      <c r="G7" s="164" t="s">
        <v>1476</v>
      </c>
      <c r="H7" s="164"/>
      <c r="I7" s="164"/>
      <c r="J7" s="164"/>
      <c r="K7" s="164"/>
      <c r="L7" s="164"/>
      <c r="M7" s="164"/>
      <c r="N7" s="164"/>
      <c r="O7" s="164"/>
      <c r="P7" s="165">
        <v>44025</v>
      </c>
      <c r="Q7" s="165">
        <v>44025</v>
      </c>
      <c r="R7" s="166"/>
      <c r="S7" s="167">
        <v>1</v>
      </c>
      <c r="T7" s="167">
        <v>1</v>
      </c>
      <c r="U7" s="167">
        <v>1</v>
      </c>
      <c r="V7" s="167">
        <v>1</v>
      </c>
      <c r="W7" s="165"/>
      <c r="X7" s="165"/>
      <c r="Y7" s="168"/>
      <c r="Z7" s="169">
        <v>0</v>
      </c>
      <c r="AA7" s="167"/>
      <c r="AB7" s="166"/>
      <c r="AC7" s="170"/>
      <c r="AD7" s="171">
        <v>1</v>
      </c>
      <c r="AE7" s="172">
        <v>1</v>
      </c>
      <c r="AF7" s="173" t="str">
        <f>"         " &amp; "프로젝트 착수" &amp; " " &amp; ""</f>
        <v xml:space="preserve">         프로젝트 착수 </v>
      </c>
      <c r="AG7" s="174"/>
      <c r="AH7" s="174"/>
      <c r="AI7" s="174"/>
      <c r="AJ7" s="174"/>
      <c r="AK7" s="174"/>
      <c r="AL7" s="174"/>
    </row>
    <row r="8" spans="1:73" ht="12" customHeight="1" outlineLevel="2">
      <c r="A8" s="162"/>
      <c r="B8" s="162" t="s">
        <v>1437</v>
      </c>
      <c r="C8" s="162">
        <v>3</v>
      </c>
      <c r="D8" s="163" t="s">
        <v>1113</v>
      </c>
      <c r="E8" s="164"/>
      <c r="F8" s="164"/>
      <c r="G8" s="164" t="s">
        <v>1477</v>
      </c>
      <c r="H8" s="164"/>
      <c r="I8" s="164"/>
      <c r="J8" s="164"/>
      <c r="K8" s="164"/>
      <c r="L8" s="164"/>
      <c r="M8" s="164"/>
      <c r="N8" s="164"/>
      <c r="O8" s="164"/>
      <c r="P8" s="165">
        <v>44026</v>
      </c>
      <c r="Q8" s="165">
        <v>44027</v>
      </c>
      <c r="R8" s="166"/>
      <c r="S8" s="167">
        <v>2</v>
      </c>
      <c r="T8" s="167">
        <v>2</v>
      </c>
      <c r="U8" s="167">
        <v>2</v>
      </c>
      <c r="V8" s="167">
        <v>2</v>
      </c>
      <c r="W8" s="165"/>
      <c r="X8" s="165"/>
      <c r="Y8" s="168">
        <v>0</v>
      </c>
      <c r="Z8" s="169">
        <v>0</v>
      </c>
      <c r="AA8" s="167"/>
      <c r="AB8" s="166"/>
      <c r="AC8" s="170"/>
      <c r="AD8" s="171">
        <v>1</v>
      </c>
      <c r="AE8" s="172">
        <v>1</v>
      </c>
      <c r="AF8" s="173" t="str">
        <f>"                  " &amp; "프로젝트 범위정의" &amp; " " &amp; ""</f>
        <v xml:space="preserve">                  프로젝트 범위정의 </v>
      </c>
      <c r="AG8" s="174"/>
      <c r="AH8" s="174"/>
      <c r="AI8" s="174"/>
      <c r="AJ8" s="174"/>
      <c r="AK8" s="174"/>
      <c r="AL8" s="174"/>
    </row>
    <row r="9" spans="1:73" ht="12" customHeight="1" outlineLevel="3">
      <c r="A9" s="162"/>
      <c r="B9" s="162"/>
      <c r="C9" s="162">
        <v>4</v>
      </c>
      <c r="D9" s="163" t="s">
        <v>1478</v>
      </c>
      <c r="E9" s="164"/>
      <c r="F9" s="164"/>
      <c r="G9" s="164"/>
      <c r="H9" s="164" t="s">
        <v>1479</v>
      </c>
      <c r="I9" s="164"/>
      <c r="J9" s="164"/>
      <c r="K9" s="164"/>
      <c r="L9" s="164"/>
      <c r="M9" s="164"/>
      <c r="N9" s="164"/>
      <c r="O9" s="164"/>
      <c r="P9" s="165">
        <v>44026</v>
      </c>
      <c r="Q9" s="165">
        <v>44027</v>
      </c>
      <c r="R9" s="166"/>
      <c r="S9" s="167">
        <v>2</v>
      </c>
      <c r="T9" s="167">
        <v>2</v>
      </c>
      <c r="U9" s="167">
        <v>2</v>
      </c>
      <c r="V9" s="167">
        <v>2</v>
      </c>
      <c r="W9" s="165"/>
      <c r="X9" s="165"/>
      <c r="Y9" s="168"/>
      <c r="Z9" s="169">
        <v>0</v>
      </c>
      <c r="AA9" s="167"/>
      <c r="AB9" s="166"/>
      <c r="AC9" s="170"/>
      <c r="AD9" s="171">
        <v>1</v>
      </c>
      <c r="AE9" s="172">
        <v>1</v>
      </c>
      <c r="AF9" s="173" t="str">
        <f>"                  " &amp; "프로젝트 계획 수립" &amp; " " &amp; ""</f>
        <v xml:space="preserve">                  프로젝트 계획 수립 </v>
      </c>
      <c r="AG9" s="174"/>
      <c r="AH9" s="174"/>
      <c r="AI9" s="174"/>
      <c r="AJ9" s="174"/>
      <c r="AK9" s="174"/>
      <c r="AL9" s="174"/>
    </row>
    <row r="10" spans="1:73" ht="12" customHeight="1" outlineLevel="1">
      <c r="A10" s="162"/>
      <c r="B10" s="162" t="s">
        <v>1437</v>
      </c>
      <c r="C10" s="162">
        <v>2</v>
      </c>
      <c r="D10" s="163" t="s">
        <v>1114</v>
      </c>
      <c r="E10" s="164"/>
      <c r="F10" s="164" t="s">
        <v>1483</v>
      </c>
      <c r="G10" s="164"/>
      <c r="H10" s="164"/>
      <c r="I10" s="164"/>
      <c r="J10" s="164"/>
      <c r="K10" s="164"/>
      <c r="L10" s="164"/>
      <c r="M10" s="164"/>
      <c r="N10" s="164"/>
      <c r="O10" s="164"/>
      <c r="P10" s="165">
        <v>44025</v>
      </c>
      <c r="Q10" s="165">
        <v>44057</v>
      </c>
      <c r="R10" s="166"/>
      <c r="S10" s="167">
        <v>25</v>
      </c>
      <c r="T10" s="167">
        <v>25</v>
      </c>
      <c r="U10" s="167">
        <v>25</v>
      </c>
      <c r="V10" s="167">
        <v>25</v>
      </c>
      <c r="W10" s="165"/>
      <c r="X10" s="165"/>
      <c r="Y10" s="168">
        <v>0</v>
      </c>
      <c r="Z10" s="169">
        <v>0</v>
      </c>
      <c r="AA10" s="167"/>
      <c r="AB10" s="166"/>
      <c r="AC10" s="170"/>
      <c r="AD10" s="171">
        <v>1</v>
      </c>
      <c r="AE10" s="172">
        <v>1</v>
      </c>
      <c r="AF10" s="173"/>
      <c r="AG10" s="174"/>
      <c r="AH10" s="174"/>
      <c r="AI10" s="174"/>
      <c r="AJ10" s="174" t="str">
        <f>"                           " &amp; "프로젝트 수행 및 통제" &amp; " " &amp; ""</f>
        <v xml:space="preserve">                           프로젝트 수행 및 통제 </v>
      </c>
      <c r="AK10" s="174"/>
      <c r="AL10" s="174"/>
    </row>
    <row r="11" spans="1:73" ht="12" customHeight="1" outlineLevel="2">
      <c r="A11" s="162"/>
      <c r="B11" s="162"/>
      <c r="C11" s="162">
        <v>3</v>
      </c>
      <c r="D11" s="163" t="s">
        <v>1115</v>
      </c>
      <c r="E11" s="164"/>
      <c r="F11" s="164"/>
      <c r="G11" s="164" t="s">
        <v>1562</v>
      </c>
      <c r="H11" s="164"/>
      <c r="I11" s="164"/>
      <c r="J11" s="164"/>
      <c r="K11" s="164"/>
      <c r="L11" s="164"/>
      <c r="M11" s="164"/>
      <c r="N11" s="164"/>
      <c r="O11" s="164"/>
      <c r="P11" s="165">
        <v>44025</v>
      </c>
      <c r="Q11" s="165">
        <v>44029</v>
      </c>
      <c r="R11" s="166"/>
      <c r="S11" s="167">
        <v>5</v>
      </c>
      <c r="T11" s="167">
        <v>5</v>
      </c>
      <c r="U11" s="167">
        <v>5</v>
      </c>
      <c r="V11" s="167">
        <v>5</v>
      </c>
      <c r="W11" s="165"/>
      <c r="X11" s="165"/>
      <c r="Y11" s="168"/>
      <c r="Z11" s="169">
        <v>0</v>
      </c>
      <c r="AA11" s="167"/>
      <c r="AB11" s="166"/>
      <c r="AC11" s="170"/>
      <c r="AD11" s="171">
        <v>1</v>
      </c>
      <c r="AE11" s="172">
        <v>1</v>
      </c>
      <c r="AF11" s="173" t="str">
        <f>"                           " &amp; "sub1 pjt" &amp; " " &amp; ""</f>
        <v xml:space="preserve">                           sub1 pjt </v>
      </c>
      <c r="AG11" s="174"/>
      <c r="AH11" s="174"/>
      <c r="AI11" s="174"/>
      <c r="AJ11" s="174"/>
      <c r="AK11" s="174"/>
      <c r="AL11" s="174"/>
    </row>
    <row r="12" spans="1:73" ht="12" customHeight="1" outlineLevel="2">
      <c r="A12" s="162"/>
      <c r="B12" s="162"/>
      <c r="C12" s="162">
        <v>3</v>
      </c>
      <c r="D12" s="163" t="s">
        <v>1136</v>
      </c>
      <c r="E12" s="164"/>
      <c r="F12" s="164"/>
      <c r="G12" s="164" t="s">
        <v>1563</v>
      </c>
      <c r="H12" s="164"/>
      <c r="I12" s="164"/>
      <c r="J12" s="164"/>
      <c r="K12" s="164"/>
      <c r="L12" s="164"/>
      <c r="M12" s="164"/>
      <c r="N12" s="164"/>
      <c r="O12" s="164"/>
      <c r="P12" s="165">
        <v>44032</v>
      </c>
      <c r="Q12" s="165">
        <v>44043</v>
      </c>
      <c r="R12" s="166"/>
      <c r="S12" s="167">
        <v>10</v>
      </c>
      <c r="T12" s="167">
        <v>10</v>
      </c>
      <c r="U12" s="167">
        <v>10</v>
      </c>
      <c r="V12" s="167">
        <v>10</v>
      </c>
      <c r="W12" s="165"/>
      <c r="X12" s="165"/>
      <c r="Y12" s="168"/>
      <c r="Z12" s="169">
        <v>0</v>
      </c>
      <c r="AA12" s="167"/>
      <c r="AB12" s="166"/>
      <c r="AC12" s="170"/>
      <c r="AD12" s="171">
        <v>1</v>
      </c>
      <c r="AE12" s="172">
        <v>1</v>
      </c>
      <c r="AF12" s="173"/>
      <c r="AG12" s="174"/>
      <c r="AH12" s="174" t="str">
        <f>"                           " &amp; "sub2 pjt" &amp; " " &amp; ""</f>
        <v xml:space="preserve">                           sub2 pjt </v>
      </c>
      <c r="AI12" s="174"/>
      <c r="AJ12" s="174"/>
      <c r="AK12" s="174"/>
      <c r="AL12" s="174"/>
    </row>
    <row r="13" spans="1:73" ht="12" customHeight="1" outlineLevel="2">
      <c r="A13" s="162"/>
      <c r="B13" s="162"/>
      <c r="C13" s="162">
        <v>3</v>
      </c>
      <c r="D13" s="163" t="s">
        <v>1438</v>
      </c>
      <c r="E13" s="164"/>
      <c r="F13" s="164"/>
      <c r="G13" s="164" t="s">
        <v>1564</v>
      </c>
      <c r="H13" s="164"/>
      <c r="I13" s="164"/>
      <c r="J13" s="164"/>
      <c r="K13" s="164"/>
      <c r="L13" s="164"/>
      <c r="M13" s="164"/>
      <c r="N13" s="164"/>
      <c r="O13" s="164"/>
      <c r="P13" s="165">
        <v>44046</v>
      </c>
      <c r="Q13" s="165">
        <v>44057</v>
      </c>
      <c r="R13" s="166"/>
      <c r="S13" s="167">
        <v>10</v>
      </c>
      <c r="T13" s="167">
        <v>10</v>
      </c>
      <c r="U13" s="167">
        <v>10</v>
      </c>
      <c r="V13" s="167">
        <v>10</v>
      </c>
      <c r="W13" s="165"/>
      <c r="X13" s="165"/>
      <c r="Y13" s="168"/>
      <c r="Z13" s="169">
        <v>0</v>
      </c>
      <c r="AA13" s="167"/>
      <c r="AB13" s="166"/>
      <c r="AC13" s="170"/>
      <c r="AD13" s="171">
        <v>1</v>
      </c>
      <c r="AE13" s="172">
        <v>1</v>
      </c>
      <c r="AF13" s="173"/>
      <c r="AG13" s="174"/>
      <c r="AH13" s="174"/>
      <c r="AI13" s="174"/>
      <c r="AJ13" s="174" t="str">
        <f>"                           " &amp; "sub3 pjt" &amp; " " &amp; ""</f>
        <v xml:space="preserve">                           sub3 pjt </v>
      </c>
      <c r="AK13" s="174"/>
      <c r="AL13" s="174"/>
    </row>
    <row r="14" spans="1:73" ht="12" customHeight="1" outlineLevel="1">
      <c r="A14" s="162"/>
      <c r="B14" s="162" t="s">
        <v>1437</v>
      </c>
      <c r="C14" s="162">
        <v>2</v>
      </c>
      <c r="D14" s="163" t="s">
        <v>1116</v>
      </c>
      <c r="E14" s="164"/>
      <c r="F14" s="164" t="s">
        <v>1489</v>
      </c>
      <c r="G14" s="164"/>
      <c r="H14" s="164"/>
      <c r="I14" s="164"/>
      <c r="J14" s="164"/>
      <c r="K14" s="164"/>
      <c r="L14" s="164"/>
      <c r="M14" s="164"/>
      <c r="N14" s="164"/>
      <c r="O14" s="164"/>
      <c r="P14" s="165">
        <v>44057</v>
      </c>
      <c r="Q14" s="165">
        <v>44063</v>
      </c>
      <c r="R14" s="166"/>
      <c r="S14" s="167">
        <v>4</v>
      </c>
      <c r="T14" s="167">
        <v>3</v>
      </c>
      <c r="U14" s="167">
        <v>4</v>
      </c>
      <c r="V14" s="167">
        <v>3</v>
      </c>
      <c r="W14" s="165"/>
      <c r="X14" s="165"/>
      <c r="Y14" s="168">
        <v>0</v>
      </c>
      <c r="Z14" s="169">
        <v>0</v>
      </c>
      <c r="AA14" s="167"/>
      <c r="AB14" s="166"/>
      <c r="AC14" s="170"/>
      <c r="AD14" s="171">
        <v>0.75</v>
      </c>
      <c r="AE14" s="172">
        <v>1</v>
      </c>
      <c r="AF14" s="173"/>
      <c r="AG14" s="174"/>
      <c r="AH14" s="174"/>
      <c r="AI14" s="174"/>
      <c r="AJ14" s="174"/>
      <c r="AK14" s="174" t="str">
        <f>"                      " &amp; "프로젝트 종료" &amp; " " &amp; ""</f>
        <v xml:space="preserve">                      프로젝트 종료 </v>
      </c>
      <c r="AL14" s="174"/>
    </row>
    <row r="15" spans="1:73" ht="12" customHeight="1" outlineLevel="2">
      <c r="A15" s="162"/>
      <c r="B15" s="162"/>
      <c r="C15" s="162">
        <v>3</v>
      </c>
      <c r="D15" s="163" t="s">
        <v>1117</v>
      </c>
      <c r="E15" s="164"/>
      <c r="F15" s="164"/>
      <c r="G15" s="164" t="s">
        <v>1490</v>
      </c>
      <c r="H15" s="164"/>
      <c r="I15" s="164"/>
      <c r="J15" s="164"/>
      <c r="K15" s="164"/>
      <c r="L15" s="164"/>
      <c r="M15" s="164"/>
      <c r="N15" s="164"/>
      <c r="O15" s="164"/>
      <c r="P15" s="165">
        <v>44057</v>
      </c>
      <c r="Q15" s="165">
        <v>44059</v>
      </c>
      <c r="R15" s="166"/>
      <c r="S15" s="167">
        <v>1</v>
      </c>
      <c r="T15" s="167">
        <v>1</v>
      </c>
      <c r="U15" s="167">
        <v>1</v>
      </c>
      <c r="V15" s="167">
        <v>1</v>
      </c>
      <c r="W15" s="165"/>
      <c r="X15" s="165"/>
      <c r="Y15" s="168"/>
      <c r="Z15" s="169">
        <v>0</v>
      </c>
      <c r="AA15" s="167"/>
      <c r="AB15" s="166"/>
      <c r="AC15" s="170"/>
      <c r="AD15" s="171">
        <v>1</v>
      </c>
      <c r="AE15" s="172">
        <v>1</v>
      </c>
      <c r="AF15" s="173"/>
      <c r="AG15" s="174"/>
      <c r="AH15" s="174"/>
      <c r="AI15" s="174"/>
      <c r="AJ15" s="174"/>
      <c r="AK15" s="174" t="str">
        <f>"    " &amp; "종료계획수립" &amp; " " &amp; ""</f>
        <v xml:space="preserve">    종료계획수립 </v>
      </c>
      <c r="AL15" s="174"/>
    </row>
    <row r="16" spans="1:73" ht="12" customHeight="1" outlineLevel="2">
      <c r="A16" s="162"/>
      <c r="B16" s="162"/>
      <c r="C16" s="162">
        <v>3</v>
      </c>
      <c r="D16" s="163" t="s">
        <v>1137</v>
      </c>
      <c r="E16" s="164"/>
      <c r="F16" s="164"/>
      <c r="G16" s="164" t="s">
        <v>1565</v>
      </c>
      <c r="H16" s="164"/>
      <c r="I16" s="164"/>
      <c r="J16" s="164"/>
      <c r="K16" s="164"/>
      <c r="L16" s="164"/>
      <c r="M16" s="164"/>
      <c r="N16" s="164"/>
      <c r="O16" s="164"/>
      <c r="P16" s="165">
        <v>44059</v>
      </c>
      <c r="Q16" s="165">
        <v>44063</v>
      </c>
      <c r="R16" s="166"/>
      <c r="S16" s="167">
        <v>3</v>
      </c>
      <c r="T16" s="167">
        <v>2</v>
      </c>
      <c r="U16" s="167">
        <v>3</v>
      </c>
      <c r="V16" s="167">
        <v>2</v>
      </c>
      <c r="W16" s="165"/>
      <c r="X16" s="165"/>
      <c r="Y16" s="168"/>
      <c r="Z16" s="169">
        <v>0</v>
      </c>
      <c r="AA16" s="167"/>
      <c r="AB16" s="166"/>
      <c r="AC16" s="170"/>
      <c r="AD16" s="171">
        <v>0.66666666666666663</v>
      </c>
      <c r="AE16" s="172">
        <v>1</v>
      </c>
      <c r="AF16" s="173"/>
      <c r="AG16" s="174"/>
      <c r="AH16" s="174"/>
      <c r="AI16" s="174"/>
      <c r="AJ16" s="174"/>
      <c r="AK16" s="174" t="str">
        <f>"                      " &amp; "UCC 제작" &amp; " " &amp; ""</f>
        <v xml:space="preserve">                      UCC 제작 </v>
      </c>
      <c r="AL16" s="174"/>
    </row>
    <row r="17" spans="1:38" ht="12" customHeight="1">
      <c r="A17" s="162"/>
      <c r="B17" s="162" t="s">
        <v>1437</v>
      </c>
      <c r="C17" s="162">
        <v>1</v>
      </c>
      <c r="D17" s="163" t="s">
        <v>1101</v>
      </c>
      <c r="E17" s="164" t="s">
        <v>1575</v>
      </c>
      <c r="F17" s="164"/>
      <c r="G17" s="164"/>
      <c r="H17" s="164"/>
      <c r="I17" s="164"/>
      <c r="J17" s="164"/>
      <c r="K17" s="164"/>
      <c r="L17" s="164"/>
      <c r="M17" s="164"/>
      <c r="N17" s="164"/>
      <c r="O17" s="164"/>
      <c r="P17" s="165">
        <v>44025</v>
      </c>
      <c r="Q17" s="165">
        <v>44057</v>
      </c>
      <c r="R17" s="166"/>
      <c r="S17" s="167">
        <v>78</v>
      </c>
      <c r="T17" s="167">
        <v>78</v>
      </c>
      <c r="U17" s="167">
        <v>25</v>
      </c>
      <c r="V17" s="167">
        <v>25</v>
      </c>
      <c r="W17" s="165"/>
      <c r="X17" s="165"/>
      <c r="Y17" s="168">
        <v>0</v>
      </c>
      <c r="Z17" s="169">
        <v>0</v>
      </c>
      <c r="AA17" s="167"/>
      <c r="AB17" s="166"/>
      <c r="AC17" s="170"/>
      <c r="AD17" s="171">
        <v>1</v>
      </c>
      <c r="AE17" s="172">
        <v>1</v>
      </c>
      <c r="AF17" s="173"/>
      <c r="AG17" s="174"/>
      <c r="AH17" s="174"/>
      <c r="AI17" s="174"/>
      <c r="AJ17" s="174" t="str">
        <f>"                           " &amp; "서비스 개발" &amp; " " &amp; ""</f>
        <v xml:space="preserve">                           서비스 개발 </v>
      </c>
      <c r="AK17" s="174"/>
      <c r="AL17" s="174"/>
    </row>
    <row r="18" spans="1:38" ht="12" customHeight="1" outlineLevel="1">
      <c r="A18" s="162"/>
      <c r="B18" s="162" t="s">
        <v>1437</v>
      </c>
      <c r="C18" s="162">
        <v>2</v>
      </c>
      <c r="D18" s="163" t="s">
        <v>1552</v>
      </c>
      <c r="E18" s="164"/>
      <c r="F18" s="164" t="s">
        <v>663</v>
      </c>
      <c r="G18" s="164"/>
      <c r="H18" s="164"/>
      <c r="I18" s="164"/>
      <c r="J18" s="164"/>
      <c r="K18" s="164"/>
      <c r="L18" s="164"/>
      <c r="M18" s="164"/>
      <c r="N18" s="164"/>
      <c r="O18" s="164"/>
      <c r="P18" s="165">
        <v>44025</v>
      </c>
      <c r="Q18" s="165">
        <v>44029</v>
      </c>
      <c r="R18" s="166"/>
      <c r="S18" s="167">
        <v>7</v>
      </c>
      <c r="T18" s="167">
        <v>7</v>
      </c>
      <c r="U18" s="167">
        <v>5</v>
      </c>
      <c r="V18" s="167">
        <v>5</v>
      </c>
      <c r="W18" s="165"/>
      <c r="X18" s="165"/>
      <c r="Y18" s="168">
        <v>0</v>
      </c>
      <c r="Z18" s="169">
        <v>0</v>
      </c>
      <c r="AA18" s="167"/>
      <c r="AB18" s="166"/>
      <c r="AC18" s="170"/>
      <c r="AD18" s="171">
        <v>1</v>
      </c>
      <c r="AE18" s="172">
        <v>1</v>
      </c>
      <c r="AF18" s="173" t="str">
        <f>"                           " &amp; "분석" &amp; " " &amp; ""</f>
        <v xml:space="preserve">                           분석 </v>
      </c>
      <c r="AG18" s="174"/>
      <c r="AH18" s="174"/>
      <c r="AI18" s="174"/>
      <c r="AJ18" s="174"/>
      <c r="AK18" s="174"/>
      <c r="AL18" s="174"/>
    </row>
    <row r="19" spans="1:38" ht="12" customHeight="1" outlineLevel="2">
      <c r="A19" s="162"/>
      <c r="B19" s="162"/>
      <c r="C19" s="162">
        <v>3</v>
      </c>
      <c r="D19" s="163" t="s">
        <v>1496</v>
      </c>
      <c r="E19" s="164"/>
      <c r="F19" s="164"/>
      <c r="G19" s="164" t="s">
        <v>1576</v>
      </c>
      <c r="H19" s="164"/>
      <c r="I19" s="164"/>
      <c r="J19" s="164"/>
      <c r="K19" s="164"/>
      <c r="L19" s="164"/>
      <c r="M19" s="164"/>
      <c r="N19" s="164"/>
      <c r="O19" s="164"/>
      <c r="P19" s="165">
        <v>44025</v>
      </c>
      <c r="Q19" s="165">
        <v>44027</v>
      </c>
      <c r="R19" s="166"/>
      <c r="S19" s="167">
        <v>3</v>
      </c>
      <c r="T19" s="167">
        <v>3</v>
      </c>
      <c r="U19" s="167">
        <v>3</v>
      </c>
      <c r="V19" s="167">
        <v>3</v>
      </c>
      <c r="W19" s="165"/>
      <c r="X19" s="165"/>
      <c r="Y19" s="168"/>
      <c r="Z19" s="169">
        <v>0</v>
      </c>
      <c r="AA19" s="167"/>
      <c r="AB19" s="166"/>
      <c r="AC19" s="170"/>
      <c r="AD19" s="171">
        <v>1</v>
      </c>
      <c r="AE19" s="172">
        <v>1</v>
      </c>
      <c r="AF19" s="173" t="str">
        <f>"                  " &amp; "요구사항 정의" &amp; " " &amp; ""</f>
        <v xml:space="preserve">                  요구사항 정의 </v>
      </c>
      <c r="AG19" s="174"/>
      <c r="AH19" s="174"/>
      <c r="AI19" s="174"/>
      <c r="AJ19" s="174"/>
      <c r="AK19" s="174"/>
      <c r="AL19" s="174"/>
    </row>
    <row r="20" spans="1:38" ht="12" customHeight="1" outlineLevel="2">
      <c r="A20" s="162"/>
      <c r="B20" s="162" t="s">
        <v>1437</v>
      </c>
      <c r="C20" s="162">
        <v>3</v>
      </c>
      <c r="D20" s="163" t="s">
        <v>1498</v>
      </c>
      <c r="E20" s="164"/>
      <c r="F20" s="164"/>
      <c r="G20" s="164" t="s">
        <v>1499</v>
      </c>
      <c r="H20" s="164"/>
      <c r="I20" s="164"/>
      <c r="J20" s="164"/>
      <c r="K20" s="164"/>
      <c r="L20" s="164"/>
      <c r="M20" s="164"/>
      <c r="N20" s="164"/>
      <c r="O20" s="164"/>
      <c r="P20" s="165">
        <v>44027</v>
      </c>
      <c r="Q20" s="165">
        <v>44029</v>
      </c>
      <c r="R20" s="166"/>
      <c r="S20" s="167">
        <v>4</v>
      </c>
      <c r="T20" s="167">
        <v>4</v>
      </c>
      <c r="U20" s="167">
        <v>3</v>
      </c>
      <c r="V20" s="167">
        <v>3</v>
      </c>
      <c r="W20" s="165"/>
      <c r="X20" s="165"/>
      <c r="Y20" s="168">
        <v>0</v>
      </c>
      <c r="Z20" s="169">
        <v>0</v>
      </c>
      <c r="AA20" s="167"/>
      <c r="AB20" s="166"/>
      <c r="AC20" s="170"/>
      <c r="AD20" s="171">
        <v>1</v>
      </c>
      <c r="AE20" s="172">
        <v>1</v>
      </c>
      <c r="AF20" s="173" t="str">
        <f>"                           " &amp; "논리모델구축" &amp; " " &amp; ""</f>
        <v xml:space="preserve">                           논리모델구축 </v>
      </c>
      <c r="AG20" s="174"/>
      <c r="AH20" s="174"/>
      <c r="AI20" s="174"/>
      <c r="AJ20" s="174"/>
      <c r="AK20" s="174"/>
      <c r="AL20" s="174"/>
    </row>
    <row r="21" spans="1:38" ht="12" customHeight="1" outlineLevel="3">
      <c r="A21" s="162"/>
      <c r="B21" s="162"/>
      <c r="C21" s="162">
        <v>4</v>
      </c>
      <c r="D21" s="163" t="s">
        <v>1500</v>
      </c>
      <c r="E21" s="164"/>
      <c r="F21" s="164"/>
      <c r="G21" s="164"/>
      <c r="H21" s="164" t="s">
        <v>1577</v>
      </c>
      <c r="I21" s="164"/>
      <c r="J21" s="164"/>
      <c r="K21" s="164"/>
      <c r="L21" s="164"/>
      <c r="M21" s="164"/>
      <c r="N21" s="164"/>
      <c r="O21" s="164"/>
      <c r="P21" s="165">
        <v>44027</v>
      </c>
      <c r="Q21" s="165">
        <v>44027</v>
      </c>
      <c r="R21" s="166"/>
      <c r="S21" s="167">
        <v>1</v>
      </c>
      <c r="T21" s="167">
        <v>1</v>
      </c>
      <c r="U21" s="167">
        <v>1</v>
      </c>
      <c r="V21" s="167">
        <v>1</v>
      </c>
      <c r="W21" s="165"/>
      <c r="X21" s="165"/>
      <c r="Y21" s="168"/>
      <c r="Z21" s="169">
        <v>0</v>
      </c>
      <c r="AA21" s="167"/>
      <c r="AB21" s="166"/>
      <c r="AC21" s="170"/>
      <c r="AD21" s="171">
        <v>1</v>
      </c>
      <c r="AE21" s="172">
        <v>1</v>
      </c>
      <c r="AF21" s="173" t="str">
        <f>"                  " &amp; "프로세스 모델링" &amp; " " &amp; ""</f>
        <v xml:space="preserve">                  프로세스 모델링 </v>
      </c>
      <c r="AG21" s="174"/>
      <c r="AH21" s="174"/>
      <c r="AI21" s="174"/>
      <c r="AJ21" s="174"/>
      <c r="AK21" s="174"/>
      <c r="AL21" s="174"/>
    </row>
    <row r="22" spans="1:38" ht="12" customHeight="1" outlineLevel="3">
      <c r="A22" s="162"/>
      <c r="B22" s="162"/>
      <c r="C22" s="162">
        <v>4</v>
      </c>
      <c r="D22" s="163" t="s">
        <v>1502</v>
      </c>
      <c r="E22" s="164"/>
      <c r="F22" s="164"/>
      <c r="G22" s="164"/>
      <c r="H22" s="164" t="s">
        <v>1578</v>
      </c>
      <c r="I22" s="164"/>
      <c r="J22" s="164"/>
      <c r="K22" s="164"/>
      <c r="L22" s="164"/>
      <c r="M22" s="164"/>
      <c r="N22" s="164"/>
      <c r="O22" s="164"/>
      <c r="P22" s="165">
        <v>44027</v>
      </c>
      <c r="Q22" s="165">
        <v>44029</v>
      </c>
      <c r="R22" s="166"/>
      <c r="S22" s="167">
        <v>3</v>
      </c>
      <c r="T22" s="167">
        <v>3</v>
      </c>
      <c r="U22" s="167">
        <v>3</v>
      </c>
      <c r="V22" s="167">
        <v>3</v>
      </c>
      <c r="W22" s="165"/>
      <c r="X22" s="165"/>
      <c r="Y22" s="168"/>
      <c r="Z22" s="169">
        <v>0</v>
      </c>
      <c r="AA22" s="167"/>
      <c r="AB22" s="166"/>
      <c r="AC22" s="170"/>
      <c r="AD22" s="171">
        <v>1</v>
      </c>
      <c r="AE22" s="172">
        <v>1</v>
      </c>
      <c r="AF22" s="173" t="str">
        <f>"                           " &amp; "데이터 모델링" &amp; " " &amp; ""</f>
        <v xml:space="preserve">                           데이터 모델링 </v>
      </c>
      <c r="AG22" s="174"/>
      <c r="AH22" s="174"/>
      <c r="AI22" s="174"/>
      <c r="AJ22" s="174"/>
      <c r="AK22" s="174"/>
      <c r="AL22" s="174"/>
    </row>
    <row r="23" spans="1:38" ht="12" customHeight="1" outlineLevel="1">
      <c r="A23" s="162"/>
      <c r="B23" s="162" t="s">
        <v>1437</v>
      </c>
      <c r="C23" s="162">
        <v>2</v>
      </c>
      <c r="D23" s="163" t="s">
        <v>1553</v>
      </c>
      <c r="E23" s="164"/>
      <c r="F23" s="164" t="s">
        <v>1410</v>
      </c>
      <c r="G23" s="164"/>
      <c r="H23" s="164"/>
      <c r="I23" s="164"/>
      <c r="J23" s="164"/>
      <c r="K23" s="164"/>
      <c r="L23" s="164"/>
      <c r="M23" s="164"/>
      <c r="N23" s="164"/>
      <c r="O23" s="164"/>
      <c r="P23" s="165">
        <v>44029</v>
      </c>
      <c r="Q23" s="165">
        <v>44032</v>
      </c>
      <c r="R23" s="166"/>
      <c r="S23" s="167">
        <v>3</v>
      </c>
      <c r="T23" s="167">
        <v>3</v>
      </c>
      <c r="U23" s="167">
        <v>2</v>
      </c>
      <c r="V23" s="167">
        <v>2</v>
      </c>
      <c r="W23" s="165"/>
      <c r="X23" s="165"/>
      <c r="Y23" s="168">
        <v>0</v>
      </c>
      <c r="Z23" s="169">
        <v>0</v>
      </c>
      <c r="AA23" s="167"/>
      <c r="AB23" s="166"/>
      <c r="AC23" s="170"/>
      <c r="AD23" s="171">
        <v>1</v>
      </c>
      <c r="AE23" s="172">
        <v>1</v>
      </c>
      <c r="AF23" s="173"/>
      <c r="AG23" s="174" t="str">
        <f>"         " &amp; "설계" &amp; " " &amp; ""</f>
        <v xml:space="preserve">         설계 </v>
      </c>
      <c r="AH23" s="174"/>
      <c r="AI23" s="174"/>
      <c r="AJ23" s="174"/>
      <c r="AK23" s="174"/>
      <c r="AL23" s="174"/>
    </row>
    <row r="24" spans="1:38" ht="12" customHeight="1" outlineLevel="2">
      <c r="A24" s="162"/>
      <c r="B24" s="162"/>
      <c r="C24" s="162">
        <v>3</v>
      </c>
      <c r="D24" s="163" t="s">
        <v>1504</v>
      </c>
      <c r="E24" s="164"/>
      <c r="F24" s="164"/>
      <c r="G24" s="164" t="s">
        <v>1505</v>
      </c>
      <c r="H24" s="164"/>
      <c r="I24" s="164"/>
      <c r="J24" s="164"/>
      <c r="K24" s="164"/>
      <c r="L24" s="164"/>
      <c r="M24" s="164"/>
      <c r="N24" s="164"/>
      <c r="O24" s="164"/>
      <c r="P24" s="165">
        <v>44029</v>
      </c>
      <c r="Q24" s="165">
        <v>44030</v>
      </c>
      <c r="R24" s="166"/>
      <c r="S24" s="167">
        <v>1</v>
      </c>
      <c r="T24" s="167">
        <v>1</v>
      </c>
      <c r="U24" s="167">
        <v>1</v>
      </c>
      <c r="V24" s="167">
        <v>1</v>
      </c>
      <c r="W24" s="165"/>
      <c r="X24" s="165"/>
      <c r="Y24" s="168"/>
      <c r="Z24" s="169">
        <v>0</v>
      </c>
      <c r="AA24" s="167"/>
      <c r="AB24" s="166"/>
      <c r="AC24" s="170"/>
      <c r="AD24" s="171">
        <v>1</v>
      </c>
      <c r="AE24" s="172">
        <v>1</v>
      </c>
      <c r="AF24" s="173"/>
      <c r="AG24" s="174" t="str">
        <f>"" &amp; "UI 설계" &amp; " " &amp; ""</f>
        <v xml:space="preserve">UI 설계 </v>
      </c>
      <c r="AH24" s="174"/>
      <c r="AI24" s="174"/>
      <c r="AJ24" s="174"/>
      <c r="AK24" s="174"/>
      <c r="AL24" s="174"/>
    </row>
    <row r="25" spans="1:38" ht="12" customHeight="1" outlineLevel="2">
      <c r="A25" s="162"/>
      <c r="B25" s="162"/>
      <c r="C25" s="162">
        <v>3</v>
      </c>
      <c r="D25" s="163" t="s">
        <v>1506</v>
      </c>
      <c r="E25" s="164"/>
      <c r="F25" s="164"/>
      <c r="G25" s="164" t="s">
        <v>1411</v>
      </c>
      <c r="H25" s="164"/>
      <c r="I25" s="164"/>
      <c r="J25" s="164"/>
      <c r="K25" s="164"/>
      <c r="L25" s="164"/>
      <c r="M25" s="164"/>
      <c r="N25" s="164"/>
      <c r="O25" s="164"/>
      <c r="P25" s="165">
        <v>44029</v>
      </c>
      <c r="Q25" s="165">
        <v>44032</v>
      </c>
      <c r="R25" s="166"/>
      <c r="S25" s="167">
        <v>2</v>
      </c>
      <c r="T25" s="167">
        <v>2</v>
      </c>
      <c r="U25" s="167">
        <v>2</v>
      </c>
      <c r="V25" s="167">
        <v>2</v>
      </c>
      <c r="W25" s="165"/>
      <c r="X25" s="165"/>
      <c r="Y25" s="168"/>
      <c r="Z25" s="169">
        <v>0</v>
      </c>
      <c r="AA25" s="167"/>
      <c r="AB25" s="166"/>
      <c r="AC25" s="170"/>
      <c r="AD25" s="171">
        <v>1</v>
      </c>
      <c r="AE25" s="172">
        <v>1</v>
      </c>
      <c r="AF25" s="173"/>
      <c r="AG25" s="174" t="str">
        <f>"         " &amp; "데이터베이스 설계" &amp; " " &amp; ""</f>
        <v xml:space="preserve">         데이터베이스 설계 </v>
      </c>
      <c r="AH25" s="174"/>
      <c r="AI25" s="174"/>
      <c r="AJ25" s="174"/>
      <c r="AK25" s="174"/>
      <c r="AL25" s="174"/>
    </row>
    <row r="26" spans="1:38" ht="12" customHeight="1" outlineLevel="1">
      <c r="A26" s="162"/>
      <c r="B26" s="162" t="s">
        <v>1437</v>
      </c>
      <c r="C26" s="162">
        <v>2</v>
      </c>
      <c r="D26" s="163" t="s">
        <v>1554</v>
      </c>
      <c r="E26" s="164"/>
      <c r="F26" s="164" t="s">
        <v>1414</v>
      </c>
      <c r="G26" s="164"/>
      <c r="H26" s="164"/>
      <c r="I26" s="164"/>
      <c r="J26" s="164"/>
      <c r="K26" s="164"/>
      <c r="L26" s="164"/>
      <c r="M26" s="164"/>
      <c r="N26" s="164"/>
      <c r="O26" s="164"/>
      <c r="P26" s="165">
        <v>44032</v>
      </c>
      <c r="Q26" s="165">
        <v>44057</v>
      </c>
      <c r="R26" s="166"/>
      <c r="S26" s="167">
        <v>66</v>
      </c>
      <c r="T26" s="167">
        <v>66</v>
      </c>
      <c r="U26" s="167">
        <v>20</v>
      </c>
      <c r="V26" s="167">
        <v>20</v>
      </c>
      <c r="W26" s="165"/>
      <c r="X26" s="165"/>
      <c r="Y26" s="168">
        <v>0</v>
      </c>
      <c r="Z26" s="169">
        <v>0</v>
      </c>
      <c r="AA26" s="167"/>
      <c r="AB26" s="166"/>
      <c r="AC26" s="170"/>
      <c r="AD26" s="171">
        <v>1</v>
      </c>
      <c r="AE26" s="172">
        <v>1</v>
      </c>
      <c r="AF26" s="173"/>
      <c r="AG26" s="174"/>
      <c r="AH26" s="174"/>
      <c r="AI26" s="174"/>
      <c r="AJ26" s="174" t="str">
        <f>"                           " &amp; "개발" &amp; " " &amp; ""</f>
        <v xml:space="preserve">                           개발 </v>
      </c>
      <c r="AK26" s="174"/>
      <c r="AL26" s="174"/>
    </row>
    <row r="27" spans="1:38" ht="12" customHeight="1" outlineLevel="2">
      <c r="A27" s="162"/>
      <c r="B27" s="162" t="s">
        <v>1437</v>
      </c>
      <c r="C27" s="162">
        <v>3</v>
      </c>
      <c r="D27" s="163" t="s">
        <v>1515</v>
      </c>
      <c r="E27" s="164"/>
      <c r="F27" s="164"/>
      <c r="G27" s="164" t="s">
        <v>1580</v>
      </c>
      <c r="H27" s="164"/>
      <c r="I27" s="164"/>
      <c r="J27" s="164"/>
      <c r="K27" s="164"/>
      <c r="L27" s="164"/>
      <c r="M27" s="164"/>
      <c r="N27" s="164"/>
      <c r="O27" s="164" t="s">
        <v>1642</v>
      </c>
      <c r="P27" s="165">
        <v>44032</v>
      </c>
      <c r="Q27" s="165">
        <v>44057</v>
      </c>
      <c r="R27" s="166"/>
      <c r="S27" s="167">
        <v>39</v>
      </c>
      <c r="T27" s="167">
        <v>39</v>
      </c>
      <c r="U27" s="167">
        <v>20</v>
      </c>
      <c r="V27" s="167">
        <v>20</v>
      </c>
      <c r="W27" s="165"/>
      <c r="X27" s="165"/>
      <c r="Y27" s="168">
        <v>0</v>
      </c>
      <c r="Z27" s="169">
        <v>0</v>
      </c>
      <c r="AA27" s="167"/>
      <c r="AB27" s="166"/>
      <c r="AC27" s="170"/>
      <c r="AD27" s="171">
        <v>1</v>
      </c>
      <c r="AE27" s="172">
        <v>1</v>
      </c>
      <c r="AF27" s="173"/>
      <c r="AG27" s="174"/>
      <c r="AH27" s="174"/>
      <c r="AI27" s="174"/>
      <c r="AJ27" s="174" t="str">
        <f>"                           " &amp; "프론트앤드 개발" &amp; " " &amp; ""</f>
        <v xml:space="preserve">                           프론트앤드 개발 </v>
      </c>
      <c r="AK27" s="174"/>
      <c r="AL27" s="174"/>
    </row>
    <row r="28" spans="1:38" ht="12" customHeight="1" outlineLevel="3">
      <c r="A28" s="162"/>
      <c r="B28" s="162" t="s">
        <v>1437</v>
      </c>
      <c r="C28" s="162">
        <v>4</v>
      </c>
      <c r="D28" s="163" t="s">
        <v>1516</v>
      </c>
      <c r="E28" s="164"/>
      <c r="F28" s="164"/>
      <c r="G28" s="164"/>
      <c r="H28" s="164" t="s">
        <v>1588</v>
      </c>
      <c r="I28" s="164"/>
      <c r="J28" s="164"/>
      <c r="K28" s="164"/>
      <c r="L28" s="164"/>
      <c r="M28" s="164"/>
      <c r="N28" s="164"/>
      <c r="O28" s="164"/>
      <c r="P28" s="165">
        <v>44032</v>
      </c>
      <c r="Q28" s="165">
        <v>44043</v>
      </c>
      <c r="R28" s="166"/>
      <c r="S28" s="167">
        <v>15</v>
      </c>
      <c r="T28" s="167">
        <v>15</v>
      </c>
      <c r="U28" s="167">
        <v>10</v>
      </c>
      <c r="V28" s="167">
        <v>10</v>
      </c>
      <c r="W28" s="165"/>
      <c r="X28" s="165"/>
      <c r="Y28" s="168">
        <v>0</v>
      </c>
      <c r="Z28" s="169">
        <v>0</v>
      </c>
      <c r="AA28" s="167"/>
      <c r="AB28" s="166"/>
      <c r="AC28" s="170"/>
      <c r="AD28" s="171">
        <v>1</v>
      </c>
      <c r="AE28" s="172">
        <v>1</v>
      </c>
      <c r="AF28" s="173"/>
      <c r="AG28" s="174"/>
      <c r="AH28" s="174" t="str">
        <f>"                           " &amp; "sub2" &amp; " " &amp; ""</f>
        <v xml:space="preserve">                           sub2 </v>
      </c>
      <c r="AI28" s="174"/>
      <c r="AJ28" s="174"/>
      <c r="AK28" s="174"/>
      <c r="AL28" s="174"/>
    </row>
    <row r="29" spans="1:38" ht="12" customHeight="1" outlineLevel="4">
      <c r="A29" s="162"/>
      <c r="B29" s="162" t="s">
        <v>1437</v>
      </c>
      <c r="C29" s="162">
        <v>5</v>
      </c>
      <c r="D29" s="163" t="s">
        <v>1597</v>
      </c>
      <c r="E29" s="164"/>
      <c r="F29" s="164"/>
      <c r="G29" s="164"/>
      <c r="H29" s="164"/>
      <c r="I29" s="164" t="s">
        <v>1583</v>
      </c>
      <c r="J29" s="164"/>
      <c r="K29" s="164"/>
      <c r="L29" s="164"/>
      <c r="M29" s="164"/>
      <c r="N29" s="164"/>
      <c r="O29" s="164"/>
      <c r="P29" s="165">
        <v>44032</v>
      </c>
      <c r="Q29" s="165">
        <v>44035</v>
      </c>
      <c r="R29" s="166"/>
      <c r="S29" s="167">
        <v>5</v>
      </c>
      <c r="T29" s="167">
        <v>5</v>
      </c>
      <c r="U29" s="167">
        <v>4</v>
      </c>
      <c r="V29" s="167">
        <v>4</v>
      </c>
      <c r="W29" s="165"/>
      <c r="X29" s="165"/>
      <c r="Y29" s="168">
        <v>0</v>
      </c>
      <c r="Z29" s="169">
        <v>0</v>
      </c>
      <c r="AA29" s="167"/>
      <c r="AB29" s="166"/>
      <c r="AC29" s="170"/>
      <c r="AD29" s="171">
        <v>1</v>
      </c>
      <c r="AE29" s="172">
        <v>1</v>
      </c>
      <c r="AF29" s="173"/>
      <c r="AG29" s="174" t="str">
        <f>"                      " &amp; "계정" &amp; " " &amp; ""</f>
        <v xml:space="preserve">                      계정 </v>
      </c>
      <c r="AH29" s="174"/>
      <c r="AI29" s="174"/>
      <c r="AJ29" s="174"/>
      <c r="AK29" s="174"/>
      <c r="AL29" s="174"/>
    </row>
    <row r="30" spans="1:38" ht="12" customHeight="1" outlineLevel="5">
      <c r="A30" s="162"/>
      <c r="B30" s="162"/>
      <c r="C30" s="162">
        <v>6</v>
      </c>
      <c r="D30" s="163" t="s">
        <v>1598</v>
      </c>
      <c r="E30" s="164"/>
      <c r="F30" s="164"/>
      <c r="G30" s="164"/>
      <c r="H30" s="164"/>
      <c r="I30" s="164"/>
      <c r="J30" s="164" t="s">
        <v>1590</v>
      </c>
      <c r="K30" s="164"/>
      <c r="L30" s="164"/>
      <c r="M30" s="164"/>
      <c r="N30" s="164"/>
      <c r="O30" s="164"/>
      <c r="P30" s="165">
        <v>44032</v>
      </c>
      <c r="Q30" s="165">
        <v>44033</v>
      </c>
      <c r="R30" s="166"/>
      <c r="S30" s="167">
        <v>2</v>
      </c>
      <c r="T30" s="167">
        <v>2</v>
      </c>
      <c r="U30" s="167">
        <v>2</v>
      </c>
      <c r="V30" s="167">
        <v>2</v>
      </c>
      <c r="W30" s="165"/>
      <c r="X30" s="165"/>
      <c r="Y30" s="168"/>
      <c r="Z30" s="169">
        <v>0</v>
      </c>
      <c r="AA30" s="167"/>
      <c r="AB30" s="166"/>
      <c r="AC30" s="170"/>
      <c r="AD30" s="171">
        <v>1</v>
      </c>
      <c r="AE30" s="172">
        <v>1</v>
      </c>
      <c r="AF30" s="173"/>
      <c r="AG30" s="174" t="str">
        <f>"             " &amp; "로그인" &amp; " " &amp; ""</f>
        <v xml:space="preserve">             로그인 </v>
      </c>
      <c r="AH30" s="174"/>
      <c r="AI30" s="174"/>
      <c r="AJ30" s="174"/>
      <c r="AK30" s="174"/>
      <c r="AL30" s="174"/>
    </row>
    <row r="31" spans="1:38" ht="12" customHeight="1" outlineLevel="5">
      <c r="A31" s="162"/>
      <c r="B31" s="162"/>
      <c r="C31" s="162">
        <v>6</v>
      </c>
      <c r="D31" s="163" t="s">
        <v>1599</v>
      </c>
      <c r="E31" s="164"/>
      <c r="F31" s="164"/>
      <c r="G31" s="164"/>
      <c r="H31" s="164"/>
      <c r="I31" s="164"/>
      <c r="J31" s="164" t="s">
        <v>1591</v>
      </c>
      <c r="K31" s="164"/>
      <c r="L31" s="164"/>
      <c r="M31" s="164"/>
      <c r="N31" s="164"/>
      <c r="O31" s="164"/>
      <c r="P31" s="165">
        <v>44033</v>
      </c>
      <c r="Q31" s="165">
        <v>44034</v>
      </c>
      <c r="R31" s="166"/>
      <c r="S31" s="167">
        <v>2</v>
      </c>
      <c r="T31" s="167">
        <v>2</v>
      </c>
      <c r="U31" s="167">
        <v>2</v>
      </c>
      <c r="V31" s="167">
        <v>2</v>
      </c>
      <c r="W31" s="165"/>
      <c r="X31" s="165"/>
      <c r="Y31" s="168"/>
      <c r="Z31" s="169">
        <v>0</v>
      </c>
      <c r="AA31" s="167"/>
      <c r="AB31" s="166"/>
      <c r="AC31" s="170"/>
      <c r="AD31" s="171">
        <v>1</v>
      </c>
      <c r="AE31" s="172">
        <v>1</v>
      </c>
      <c r="AF31" s="173"/>
      <c r="AG31" s="174" t="str">
        <f>"                  " &amp; "회원가입" &amp; " " &amp; ""</f>
        <v xml:space="preserve">                  회원가입 </v>
      </c>
      <c r="AH31" s="174"/>
      <c r="AI31" s="174"/>
      <c r="AJ31" s="174"/>
      <c r="AK31" s="174"/>
      <c r="AL31" s="174"/>
    </row>
    <row r="32" spans="1:38" ht="12" customHeight="1" outlineLevel="5">
      <c r="A32" s="162"/>
      <c r="B32" s="162"/>
      <c r="C32" s="162">
        <v>6</v>
      </c>
      <c r="D32" s="163" t="s">
        <v>1600</v>
      </c>
      <c r="E32" s="164"/>
      <c r="F32" s="164"/>
      <c r="G32" s="164"/>
      <c r="H32" s="164"/>
      <c r="I32" s="164"/>
      <c r="J32" s="283" t="s">
        <v>1592</v>
      </c>
      <c r="K32" s="164"/>
      <c r="L32" s="164"/>
      <c r="M32" s="164"/>
      <c r="N32" s="164"/>
      <c r="O32" s="164"/>
      <c r="P32" s="165">
        <v>44035</v>
      </c>
      <c r="Q32" s="165">
        <v>44035</v>
      </c>
      <c r="R32" s="166"/>
      <c r="S32" s="167">
        <v>1</v>
      </c>
      <c r="T32" s="167">
        <v>1</v>
      </c>
      <c r="U32" s="167">
        <v>1</v>
      </c>
      <c r="V32" s="167">
        <v>1</v>
      </c>
      <c r="W32" s="165"/>
      <c r="X32" s="165"/>
      <c r="Y32" s="168"/>
      <c r="Z32" s="169">
        <v>0</v>
      </c>
      <c r="AA32" s="167"/>
      <c r="AB32" s="166"/>
      <c r="AC32" s="170"/>
      <c r="AD32" s="171">
        <v>1</v>
      </c>
      <c r="AE32" s="172">
        <v>1</v>
      </c>
      <c r="AF32" s="173"/>
      <c r="AG32" s="174" t="str">
        <f>"                      " &amp; "계정 설정" &amp; " " &amp; ""</f>
        <v xml:space="preserve">                      계정 설정 </v>
      </c>
      <c r="AH32" s="174"/>
      <c r="AI32" s="174"/>
      <c r="AJ32" s="174"/>
      <c r="AK32" s="174"/>
      <c r="AL32" s="174"/>
    </row>
    <row r="33" spans="1:38" ht="12" customHeight="1" outlineLevel="4">
      <c r="A33" s="162"/>
      <c r="B33" s="162" t="s">
        <v>1437</v>
      </c>
      <c r="C33" s="162">
        <v>5</v>
      </c>
      <c r="D33" s="163" t="s">
        <v>1601</v>
      </c>
      <c r="E33" s="164"/>
      <c r="F33" s="164"/>
      <c r="G33" s="164"/>
      <c r="H33" s="164"/>
      <c r="I33" s="164" t="s">
        <v>1584</v>
      </c>
      <c r="J33" s="164"/>
      <c r="K33" s="164"/>
      <c r="L33" s="164"/>
      <c r="M33" s="164"/>
      <c r="N33" s="164"/>
      <c r="O33" s="164"/>
      <c r="P33" s="165">
        <v>44035</v>
      </c>
      <c r="Q33" s="165">
        <v>44038</v>
      </c>
      <c r="R33" s="166"/>
      <c r="S33" s="167">
        <v>3</v>
      </c>
      <c r="T33" s="167">
        <v>3</v>
      </c>
      <c r="U33" s="167">
        <v>2</v>
      </c>
      <c r="V33" s="167">
        <v>2</v>
      </c>
      <c r="W33" s="165"/>
      <c r="X33" s="165"/>
      <c r="Y33" s="168">
        <v>0</v>
      </c>
      <c r="Z33" s="169">
        <v>0</v>
      </c>
      <c r="AA33" s="167"/>
      <c r="AB33" s="166"/>
      <c r="AC33" s="170"/>
      <c r="AD33" s="171">
        <v>1</v>
      </c>
      <c r="AE33" s="172">
        <v>1</v>
      </c>
      <c r="AF33" s="173"/>
      <c r="AG33" s="174"/>
      <c r="AH33" s="174" t="str">
        <f>"    " &amp; "피드" &amp; " " &amp; ""</f>
        <v xml:space="preserve">    피드 </v>
      </c>
      <c r="AI33" s="174"/>
      <c r="AJ33" s="174"/>
      <c r="AK33" s="174"/>
      <c r="AL33" s="174"/>
    </row>
    <row r="34" spans="1:38" ht="12" customHeight="1" outlineLevel="5">
      <c r="A34" s="162"/>
      <c r="B34" s="162"/>
      <c r="C34" s="162">
        <v>6</v>
      </c>
      <c r="D34" s="163" t="s">
        <v>1602</v>
      </c>
      <c r="E34" s="164"/>
      <c r="F34" s="164"/>
      <c r="G34" s="164"/>
      <c r="H34" s="164"/>
      <c r="I34" s="164"/>
      <c r="J34" s="164" t="s">
        <v>1595</v>
      </c>
      <c r="K34" s="164"/>
      <c r="L34" s="164"/>
      <c r="M34" s="164"/>
      <c r="N34" s="164"/>
      <c r="O34" s="164"/>
      <c r="P34" s="165">
        <v>44035</v>
      </c>
      <c r="Q34" s="165">
        <v>44036</v>
      </c>
      <c r="R34" s="166"/>
      <c r="S34" s="167">
        <v>2</v>
      </c>
      <c r="T34" s="167">
        <v>2</v>
      </c>
      <c r="U34" s="167">
        <v>2</v>
      </c>
      <c r="V34" s="167">
        <v>2</v>
      </c>
      <c r="W34" s="165"/>
      <c r="X34" s="165"/>
      <c r="Y34" s="168"/>
      <c r="Z34" s="169">
        <v>0</v>
      </c>
      <c r="AA34" s="167"/>
      <c r="AB34" s="166"/>
      <c r="AC34" s="170"/>
      <c r="AD34" s="171">
        <v>1</v>
      </c>
      <c r="AE34" s="172">
        <v>1</v>
      </c>
      <c r="AF34" s="173"/>
      <c r="AG34" s="174" t="str">
        <f>"                           " &amp; "인피니트 스크롤" &amp; " " &amp; ""</f>
        <v xml:space="preserve">                           인피니트 스크롤 </v>
      </c>
      <c r="AH34" s="174"/>
      <c r="AI34" s="174"/>
      <c r="AJ34" s="174"/>
      <c r="AK34" s="174"/>
      <c r="AL34" s="174"/>
    </row>
    <row r="35" spans="1:38" ht="12" customHeight="1" outlineLevel="5">
      <c r="A35" s="162"/>
      <c r="B35" s="162"/>
      <c r="C35" s="162">
        <v>6</v>
      </c>
      <c r="D35" s="163" t="s">
        <v>1603</v>
      </c>
      <c r="E35" s="164"/>
      <c r="F35" s="164"/>
      <c r="G35" s="164"/>
      <c r="H35" s="164"/>
      <c r="I35" s="164"/>
      <c r="J35" s="164" t="s">
        <v>1594</v>
      </c>
      <c r="K35" s="164"/>
      <c r="L35" s="164"/>
      <c r="M35" s="164"/>
      <c r="N35" s="164"/>
      <c r="O35" s="164"/>
      <c r="P35" s="165">
        <v>44036</v>
      </c>
      <c r="Q35" s="165">
        <v>44038</v>
      </c>
      <c r="R35" s="166"/>
      <c r="S35" s="167">
        <v>1</v>
      </c>
      <c r="T35" s="167">
        <v>1</v>
      </c>
      <c r="U35" s="167">
        <v>1</v>
      </c>
      <c r="V35" s="167">
        <v>1</v>
      </c>
      <c r="W35" s="165"/>
      <c r="X35" s="165"/>
      <c r="Y35" s="168"/>
      <c r="Z35" s="169">
        <v>0</v>
      </c>
      <c r="AA35" s="167"/>
      <c r="AB35" s="166"/>
      <c r="AC35" s="170"/>
      <c r="AD35" s="171">
        <v>1</v>
      </c>
      <c r="AE35" s="172">
        <v>1</v>
      </c>
      <c r="AF35" s="173"/>
      <c r="AG35" s="174"/>
      <c r="AH35" s="174" t="str">
        <f>"    " &amp; "UI/UX" &amp; " " &amp; ""</f>
        <v xml:space="preserve">    UI/UX </v>
      </c>
      <c r="AI35" s="174"/>
      <c r="AJ35" s="174"/>
      <c r="AK35" s="174"/>
      <c r="AL35" s="174"/>
    </row>
    <row r="36" spans="1:38" ht="12" customHeight="1" outlineLevel="4">
      <c r="A36" s="162"/>
      <c r="B36" s="162"/>
      <c r="C36" s="162">
        <v>5</v>
      </c>
      <c r="D36" s="163" t="s">
        <v>1604</v>
      </c>
      <c r="E36" s="164"/>
      <c r="F36" s="164"/>
      <c r="G36" s="164"/>
      <c r="H36" s="164"/>
      <c r="I36" s="164" t="s">
        <v>1585</v>
      </c>
      <c r="J36" s="164"/>
      <c r="K36" s="164"/>
      <c r="L36" s="164"/>
      <c r="M36" s="164"/>
      <c r="N36" s="164"/>
      <c r="O36" s="164"/>
      <c r="P36" s="165">
        <v>44038</v>
      </c>
      <c r="Q36" s="165">
        <v>44039</v>
      </c>
      <c r="R36" s="166"/>
      <c r="S36" s="167">
        <v>1</v>
      </c>
      <c r="T36" s="167">
        <v>1</v>
      </c>
      <c r="U36" s="167">
        <v>1</v>
      </c>
      <c r="V36" s="167">
        <v>1</v>
      </c>
      <c r="W36" s="165"/>
      <c r="X36" s="165"/>
      <c r="Y36" s="168"/>
      <c r="Z36" s="169">
        <v>0</v>
      </c>
      <c r="AA36" s="167"/>
      <c r="AB36" s="166"/>
      <c r="AC36" s="170"/>
      <c r="AD36" s="171">
        <v>1</v>
      </c>
      <c r="AE36" s="172">
        <v>1</v>
      </c>
      <c r="AF36" s="173"/>
      <c r="AG36" s="174"/>
      <c r="AH36" s="174" t="str">
        <f>"         " &amp; "팔로우" &amp; " " &amp; ""</f>
        <v xml:space="preserve">         팔로우 </v>
      </c>
      <c r="AI36" s="174"/>
      <c r="AJ36" s="174"/>
      <c r="AK36" s="174"/>
      <c r="AL36" s="174"/>
    </row>
    <row r="37" spans="1:38" ht="12" customHeight="1" outlineLevel="4">
      <c r="A37" s="162"/>
      <c r="B37" s="162"/>
      <c r="C37" s="162">
        <v>5</v>
      </c>
      <c r="D37" s="163" t="s">
        <v>1605</v>
      </c>
      <c r="E37" s="164"/>
      <c r="F37" s="164"/>
      <c r="G37" s="164"/>
      <c r="H37" s="164"/>
      <c r="I37" s="164" t="s">
        <v>1596</v>
      </c>
      <c r="J37" s="164"/>
      <c r="K37" s="164"/>
      <c r="L37" s="164"/>
      <c r="M37" s="164"/>
      <c r="N37" s="164"/>
      <c r="O37" s="164"/>
      <c r="P37" s="165">
        <v>44039</v>
      </c>
      <c r="Q37" s="165">
        <v>44039</v>
      </c>
      <c r="R37" s="166"/>
      <c r="S37" s="167">
        <v>1</v>
      </c>
      <c r="T37" s="167">
        <v>1</v>
      </c>
      <c r="U37" s="167">
        <v>1</v>
      </c>
      <c r="V37" s="167">
        <v>1</v>
      </c>
      <c r="W37" s="165"/>
      <c r="X37" s="165"/>
      <c r="Y37" s="168"/>
      <c r="Z37" s="169">
        <v>0</v>
      </c>
      <c r="AA37" s="167"/>
      <c r="AB37" s="166"/>
      <c r="AC37" s="170"/>
      <c r="AD37" s="171">
        <v>1</v>
      </c>
      <c r="AE37" s="172">
        <v>1</v>
      </c>
      <c r="AF37" s="173"/>
      <c r="AG37" s="174"/>
      <c r="AH37" s="174" t="str">
        <f>"         " &amp; "검색" &amp; " " &amp; ""</f>
        <v xml:space="preserve">         검색 </v>
      </c>
      <c r="AI37" s="174"/>
      <c r="AJ37" s="174"/>
      <c r="AK37" s="174"/>
      <c r="AL37" s="174"/>
    </row>
    <row r="38" spans="1:38" ht="12" customHeight="1" outlineLevel="4">
      <c r="A38" s="162"/>
      <c r="B38" s="162"/>
      <c r="C38" s="162">
        <v>5</v>
      </c>
      <c r="D38" s="163" t="s">
        <v>1606</v>
      </c>
      <c r="E38" s="164"/>
      <c r="F38" s="164"/>
      <c r="G38" s="164"/>
      <c r="H38" s="164"/>
      <c r="I38" s="164" t="s">
        <v>1593</v>
      </c>
      <c r="J38" s="164"/>
      <c r="K38" s="164"/>
      <c r="L38" s="164"/>
      <c r="M38" s="164"/>
      <c r="N38" s="164"/>
      <c r="O38" s="164"/>
      <c r="P38" s="165">
        <v>44040</v>
      </c>
      <c r="Q38" s="165">
        <v>44041</v>
      </c>
      <c r="R38" s="166"/>
      <c r="S38" s="167">
        <v>2</v>
      </c>
      <c r="T38" s="167">
        <v>2</v>
      </c>
      <c r="U38" s="167">
        <v>2</v>
      </c>
      <c r="V38" s="167">
        <v>2</v>
      </c>
      <c r="W38" s="165"/>
      <c r="X38" s="165"/>
      <c r="Y38" s="168"/>
      <c r="Z38" s="169">
        <v>0</v>
      </c>
      <c r="AA38" s="167"/>
      <c r="AB38" s="166"/>
      <c r="AC38" s="170"/>
      <c r="AD38" s="171">
        <v>1</v>
      </c>
      <c r="AE38" s="172">
        <v>1</v>
      </c>
      <c r="AF38" s="173"/>
      <c r="AG38" s="174"/>
      <c r="AH38" s="174" t="str">
        <f>"                  " &amp; "댓글" &amp; " " &amp; ""</f>
        <v xml:space="preserve">                  댓글 </v>
      </c>
      <c r="AI38" s="174"/>
      <c r="AJ38" s="174"/>
      <c r="AK38" s="174"/>
      <c r="AL38" s="174"/>
    </row>
    <row r="39" spans="1:38" ht="12" customHeight="1" outlineLevel="4">
      <c r="A39" s="162"/>
      <c r="B39" s="162"/>
      <c r="C39" s="162">
        <v>5</v>
      </c>
      <c r="D39" s="163" t="s">
        <v>1607</v>
      </c>
      <c r="E39" s="164"/>
      <c r="F39" s="164"/>
      <c r="G39" s="164"/>
      <c r="H39" s="164"/>
      <c r="I39" s="164" t="s">
        <v>1586</v>
      </c>
      <c r="J39" s="164"/>
      <c r="K39" s="164"/>
      <c r="L39" s="164"/>
      <c r="M39" s="164"/>
      <c r="N39" s="164"/>
      <c r="O39" s="164"/>
      <c r="P39" s="165">
        <v>44041</v>
      </c>
      <c r="Q39" s="165">
        <v>44043</v>
      </c>
      <c r="R39" s="166"/>
      <c r="S39" s="167">
        <v>3</v>
      </c>
      <c r="T39" s="167">
        <v>3</v>
      </c>
      <c r="U39" s="167">
        <v>3</v>
      </c>
      <c r="V39" s="167">
        <v>3</v>
      </c>
      <c r="W39" s="165"/>
      <c r="X39" s="165"/>
      <c r="Y39" s="168"/>
      <c r="Z39" s="169">
        <v>0</v>
      </c>
      <c r="AA39" s="167"/>
      <c r="AB39" s="166"/>
      <c r="AC39" s="170"/>
      <c r="AD39" s="171">
        <v>1</v>
      </c>
      <c r="AE39" s="172">
        <v>1</v>
      </c>
      <c r="AF39" s="173"/>
      <c r="AG39" s="174"/>
      <c r="AH39" s="174" t="str">
        <f>"                           " &amp; "알림" &amp; " " &amp; ""</f>
        <v xml:space="preserve">                           알림 </v>
      </c>
      <c r="AI39" s="174"/>
      <c r="AJ39" s="174"/>
      <c r="AK39" s="174"/>
      <c r="AL39" s="174"/>
    </row>
    <row r="40" spans="1:38" ht="12" customHeight="1" outlineLevel="3">
      <c r="A40" s="162"/>
      <c r="B40" s="162" t="s">
        <v>1437</v>
      </c>
      <c r="C40" s="162">
        <v>4</v>
      </c>
      <c r="D40" s="163" t="s">
        <v>1518</v>
      </c>
      <c r="E40" s="164"/>
      <c r="F40" s="164"/>
      <c r="G40" s="164"/>
      <c r="H40" s="164" t="s">
        <v>1589</v>
      </c>
      <c r="I40" s="164"/>
      <c r="J40" s="164"/>
      <c r="K40" s="164"/>
      <c r="L40" s="164"/>
      <c r="M40" s="164"/>
      <c r="N40" s="164"/>
      <c r="O40" s="164"/>
      <c r="P40" s="165">
        <v>44046</v>
      </c>
      <c r="Q40" s="165">
        <v>44057</v>
      </c>
      <c r="R40" s="166"/>
      <c r="S40" s="167">
        <v>24</v>
      </c>
      <c r="T40" s="167">
        <v>24</v>
      </c>
      <c r="U40" s="167">
        <v>10</v>
      </c>
      <c r="V40" s="167">
        <v>10</v>
      </c>
      <c r="W40" s="165"/>
      <c r="X40" s="165"/>
      <c r="Y40" s="168">
        <v>0</v>
      </c>
      <c r="Z40" s="169">
        <v>0</v>
      </c>
      <c r="AA40" s="167"/>
      <c r="AB40" s="166"/>
      <c r="AC40" s="170"/>
      <c r="AD40" s="171">
        <v>1</v>
      </c>
      <c r="AE40" s="172">
        <v>1</v>
      </c>
      <c r="AF40" s="173"/>
      <c r="AG40" s="174"/>
      <c r="AH40" s="174"/>
      <c r="AI40" s="174"/>
      <c r="AJ40" s="174" t="str">
        <f>"                           " &amp; "sub3" &amp; " " &amp; ""</f>
        <v xml:space="preserve">                           sub3 </v>
      </c>
      <c r="AK40" s="174"/>
      <c r="AL40" s="174"/>
    </row>
    <row r="41" spans="1:38" ht="12" customHeight="1" outlineLevel="4">
      <c r="A41" s="162"/>
      <c r="B41" s="162" t="s">
        <v>1437</v>
      </c>
      <c r="C41" s="162">
        <v>5</v>
      </c>
      <c r="D41" s="163" t="s">
        <v>1519</v>
      </c>
      <c r="E41" s="164"/>
      <c r="F41" s="164"/>
      <c r="G41" s="164"/>
      <c r="H41" s="164"/>
      <c r="I41" s="164" t="s">
        <v>1622</v>
      </c>
      <c r="J41" s="164"/>
      <c r="K41" s="164"/>
      <c r="L41" s="164"/>
      <c r="M41" s="164"/>
      <c r="N41" s="164"/>
      <c r="O41" s="164"/>
      <c r="P41" s="165">
        <v>44046</v>
      </c>
      <c r="Q41" s="165">
        <v>44048</v>
      </c>
      <c r="R41" s="166"/>
      <c r="S41" s="167">
        <v>3</v>
      </c>
      <c r="T41" s="167">
        <v>3</v>
      </c>
      <c r="U41" s="167">
        <v>3</v>
      </c>
      <c r="V41" s="167">
        <v>3</v>
      </c>
      <c r="W41" s="165"/>
      <c r="X41" s="165"/>
      <c r="Y41" s="168">
        <v>0</v>
      </c>
      <c r="Z41" s="169">
        <v>0</v>
      </c>
      <c r="AA41" s="167"/>
      <c r="AB41" s="166"/>
      <c r="AC41" s="170"/>
      <c r="AD41" s="171">
        <v>1</v>
      </c>
      <c r="AE41" s="172">
        <v>1</v>
      </c>
      <c r="AF41" s="173"/>
      <c r="AG41" s="174"/>
      <c r="AH41" s="174"/>
      <c r="AI41" s="174" t="str">
        <f>"                  " &amp; "소셜로그인" &amp; " " &amp; ""</f>
        <v xml:space="preserve">                  소셜로그인 </v>
      </c>
      <c r="AJ41" s="174"/>
      <c r="AK41" s="174"/>
      <c r="AL41" s="174"/>
    </row>
    <row r="42" spans="1:38" ht="12" customHeight="1" outlineLevel="5">
      <c r="A42" s="162"/>
      <c r="B42" s="162"/>
      <c r="C42" s="162">
        <v>6</v>
      </c>
      <c r="D42" s="163" t="s">
        <v>1520</v>
      </c>
      <c r="E42" s="164"/>
      <c r="F42" s="164"/>
      <c r="G42" s="164"/>
      <c r="H42" s="164"/>
      <c r="I42" s="164"/>
      <c r="J42" s="164" t="s">
        <v>1632</v>
      </c>
      <c r="K42" s="164"/>
      <c r="L42" s="164"/>
      <c r="M42" s="164"/>
      <c r="N42" s="164"/>
      <c r="O42" s="164" t="s">
        <v>1641</v>
      </c>
      <c r="P42" s="165">
        <v>44046</v>
      </c>
      <c r="Q42" s="165">
        <v>44048</v>
      </c>
      <c r="R42" s="166"/>
      <c r="S42" s="167">
        <v>3</v>
      </c>
      <c r="T42" s="167">
        <v>3</v>
      </c>
      <c r="U42" s="167">
        <v>3</v>
      </c>
      <c r="V42" s="167">
        <v>3</v>
      </c>
      <c r="W42" s="165"/>
      <c r="X42" s="165"/>
      <c r="Y42" s="168"/>
      <c r="Z42" s="169">
        <v>0</v>
      </c>
      <c r="AA42" s="167"/>
      <c r="AB42" s="166"/>
      <c r="AC42" s="170"/>
      <c r="AD42" s="171">
        <v>1</v>
      </c>
      <c r="AE42" s="172">
        <v>1</v>
      </c>
      <c r="AF42" s="173"/>
      <c r="AG42" s="174"/>
      <c r="AH42" s="174"/>
      <c r="AI42" s="174" t="str">
        <f>"                  " &amp; "구글" &amp; " " &amp; ""</f>
        <v xml:space="preserve">                  구글 </v>
      </c>
      <c r="AJ42" s="174"/>
      <c r="AK42" s="174"/>
      <c r="AL42" s="174"/>
    </row>
    <row r="43" spans="1:38" ht="12" customHeight="1" outlineLevel="4">
      <c r="A43" s="162"/>
      <c r="B43" s="162" t="s">
        <v>1437</v>
      </c>
      <c r="C43" s="162">
        <v>5</v>
      </c>
      <c r="D43" s="163" t="s">
        <v>1526</v>
      </c>
      <c r="E43" s="164"/>
      <c r="F43" s="164"/>
      <c r="G43" s="164"/>
      <c r="H43" s="164"/>
      <c r="I43" s="164" t="s">
        <v>1596</v>
      </c>
      <c r="J43" s="164"/>
      <c r="K43" s="164"/>
      <c r="L43" s="164"/>
      <c r="M43" s="164"/>
      <c r="N43" s="164"/>
      <c r="O43" s="164"/>
      <c r="P43" s="165">
        <v>44046</v>
      </c>
      <c r="Q43" s="165">
        <v>44048</v>
      </c>
      <c r="R43" s="166"/>
      <c r="S43" s="167">
        <v>3</v>
      </c>
      <c r="T43" s="167">
        <v>3</v>
      </c>
      <c r="U43" s="167">
        <v>3</v>
      </c>
      <c r="V43" s="167">
        <v>3</v>
      </c>
      <c r="W43" s="165"/>
      <c r="X43" s="165"/>
      <c r="Y43" s="168">
        <v>0</v>
      </c>
      <c r="Z43" s="169">
        <v>0</v>
      </c>
      <c r="AA43" s="167"/>
      <c r="AB43" s="166"/>
      <c r="AC43" s="170"/>
      <c r="AD43" s="171">
        <v>1</v>
      </c>
      <c r="AE43" s="172">
        <v>1</v>
      </c>
      <c r="AF43" s="173"/>
      <c r="AG43" s="174"/>
      <c r="AH43" s="174"/>
      <c r="AI43" s="174" t="str">
        <f>"                  " &amp; "검색" &amp; " " &amp; ""</f>
        <v xml:space="preserve">                  검색 </v>
      </c>
      <c r="AJ43" s="174"/>
      <c r="AK43" s="174"/>
      <c r="AL43" s="174"/>
    </row>
    <row r="44" spans="1:38" ht="12" customHeight="1" outlineLevel="5">
      <c r="A44" s="162"/>
      <c r="B44" s="162"/>
      <c r="C44" s="162">
        <v>6</v>
      </c>
      <c r="D44" s="163" t="s">
        <v>1636</v>
      </c>
      <c r="E44" s="164"/>
      <c r="F44" s="164"/>
      <c r="G44" s="164"/>
      <c r="H44" s="164"/>
      <c r="I44" s="164"/>
      <c r="J44" s="164" t="s">
        <v>1633</v>
      </c>
      <c r="K44" s="164"/>
      <c r="L44" s="164"/>
      <c r="M44" s="164"/>
      <c r="N44" s="164"/>
      <c r="O44" s="164"/>
      <c r="P44" s="165">
        <v>44046</v>
      </c>
      <c r="Q44" s="165">
        <v>44048</v>
      </c>
      <c r="R44" s="166"/>
      <c r="S44" s="167">
        <v>3</v>
      </c>
      <c r="T44" s="167">
        <v>3</v>
      </c>
      <c r="U44" s="167">
        <v>3</v>
      </c>
      <c r="V44" s="167">
        <v>3</v>
      </c>
      <c r="W44" s="165"/>
      <c r="X44" s="165"/>
      <c r="Y44" s="168"/>
      <c r="Z44" s="169">
        <v>0</v>
      </c>
      <c r="AA44" s="167"/>
      <c r="AB44" s="166"/>
      <c r="AC44" s="170"/>
      <c r="AD44" s="171">
        <v>1</v>
      </c>
      <c r="AE44" s="172">
        <v>1</v>
      </c>
      <c r="AF44" s="173"/>
      <c r="AG44" s="174"/>
      <c r="AH44" s="174"/>
      <c r="AI44" s="174" t="str">
        <f>"                  " &amp; "검색 내 검색" &amp; " " &amp; ""</f>
        <v xml:space="preserve">                  검색 내 검색 </v>
      </c>
      <c r="AJ44" s="174"/>
      <c r="AK44" s="174"/>
      <c r="AL44" s="174"/>
    </row>
    <row r="45" spans="1:38" ht="12" customHeight="1" outlineLevel="4">
      <c r="A45" s="162"/>
      <c r="B45" s="162" t="s">
        <v>1437</v>
      </c>
      <c r="C45" s="162">
        <v>5</v>
      </c>
      <c r="D45" s="163" t="s">
        <v>1528</v>
      </c>
      <c r="E45" s="164"/>
      <c r="F45" s="164"/>
      <c r="G45" s="164"/>
      <c r="H45" s="164"/>
      <c r="I45" s="164" t="s">
        <v>1623</v>
      </c>
      <c r="J45" s="164"/>
      <c r="K45" s="164"/>
      <c r="L45" s="164"/>
      <c r="M45" s="164"/>
      <c r="N45" s="164"/>
      <c r="O45" s="164"/>
      <c r="P45" s="165">
        <v>44048</v>
      </c>
      <c r="Q45" s="165">
        <v>44054</v>
      </c>
      <c r="R45" s="166"/>
      <c r="S45" s="167">
        <v>8</v>
      </c>
      <c r="T45" s="167">
        <v>8</v>
      </c>
      <c r="U45" s="167">
        <v>5</v>
      </c>
      <c r="V45" s="167">
        <v>5</v>
      </c>
      <c r="W45" s="165"/>
      <c r="X45" s="165"/>
      <c r="Y45" s="168">
        <v>0</v>
      </c>
      <c r="Z45" s="169">
        <v>0</v>
      </c>
      <c r="AA45" s="167"/>
      <c r="AB45" s="166"/>
      <c r="AC45" s="170"/>
      <c r="AD45" s="171">
        <v>1</v>
      </c>
      <c r="AE45" s="172">
        <v>1</v>
      </c>
      <c r="AF45" s="173"/>
      <c r="AG45" s="174"/>
      <c r="AH45" s="174"/>
      <c r="AI45" s="174"/>
      <c r="AJ45" s="174" t="str">
        <f>"             " &amp; "특화 페이지" &amp; " " &amp; ""</f>
        <v xml:space="preserve">             특화 페이지 </v>
      </c>
      <c r="AK45" s="174"/>
      <c r="AL45" s="174"/>
    </row>
    <row r="46" spans="1:38" ht="12" customHeight="1" outlineLevel="5">
      <c r="A46" s="162"/>
      <c r="B46" s="162"/>
      <c r="C46" s="162">
        <v>6</v>
      </c>
      <c r="D46" s="163" t="s">
        <v>1637</v>
      </c>
      <c r="E46" s="164"/>
      <c r="F46" s="164"/>
      <c r="G46" s="164"/>
      <c r="H46" s="164"/>
      <c r="I46" s="164"/>
      <c r="J46" s="164" t="s">
        <v>1634</v>
      </c>
      <c r="K46" s="164"/>
      <c r="L46" s="164"/>
      <c r="M46" s="164"/>
      <c r="N46" s="164"/>
      <c r="O46" s="164" t="s">
        <v>1640</v>
      </c>
      <c r="P46" s="165">
        <v>44048</v>
      </c>
      <c r="Q46" s="165">
        <v>44051</v>
      </c>
      <c r="R46" s="166"/>
      <c r="S46" s="167">
        <v>3</v>
      </c>
      <c r="T46" s="167">
        <v>3</v>
      </c>
      <c r="U46" s="167">
        <v>3</v>
      </c>
      <c r="V46" s="167">
        <v>3</v>
      </c>
      <c r="W46" s="165"/>
      <c r="X46" s="165"/>
      <c r="Y46" s="168"/>
      <c r="Z46" s="169">
        <v>0</v>
      </c>
      <c r="AA46" s="167"/>
      <c r="AB46" s="166"/>
      <c r="AC46" s="170"/>
      <c r="AD46" s="171">
        <v>1</v>
      </c>
      <c r="AE46" s="172">
        <v>1</v>
      </c>
      <c r="AF46" s="173"/>
      <c r="AG46" s="174"/>
      <c r="AH46" s="174"/>
      <c r="AI46" s="174"/>
      <c r="AJ46" s="174" t="str">
        <f>"" &amp; "칵테일 페이지" &amp; " " &amp; ""</f>
        <v xml:space="preserve">칵테일 페이지 </v>
      </c>
      <c r="AK46" s="174"/>
      <c r="AL46" s="174"/>
    </row>
    <row r="47" spans="1:38" ht="12" customHeight="1" outlineLevel="5">
      <c r="A47" s="162"/>
      <c r="B47" s="162"/>
      <c r="C47" s="162">
        <v>6</v>
      </c>
      <c r="D47" s="163" t="s">
        <v>1638</v>
      </c>
      <c r="E47" s="164"/>
      <c r="F47" s="164"/>
      <c r="G47" s="164"/>
      <c r="H47" s="164"/>
      <c r="I47" s="164"/>
      <c r="J47" s="164" t="s">
        <v>1635</v>
      </c>
      <c r="K47" s="164"/>
      <c r="L47" s="164"/>
      <c r="M47" s="164"/>
      <c r="N47" s="164"/>
      <c r="O47" s="164"/>
      <c r="P47" s="165">
        <v>44048</v>
      </c>
      <c r="Q47" s="165">
        <v>44054</v>
      </c>
      <c r="R47" s="166"/>
      <c r="S47" s="167">
        <v>5</v>
      </c>
      <c r="T47" s="167">
        <v>5</v>
      </c>
      <c r="U47" s="167">
        <v>5</v>
      </c>
      <c r="V47" s="167">
        <v>5</v>
      </c>
      <c r="W47" s="165"/>
      <c r="X47" s="165"/>
      <c r="Y47" s="168"/>
      <c r="Z47" s="169">
        <v>0</v>
      </c>
      <c r="AA47" s="167"/>
      <c r="AB47" s="166"/>
      <c r="AC47" s="170"/>
      <c r="AD47" s="171">
        <v>1</v>
      </c>
      <c r="AE47" s="172">
        <v>1</v>
      </c>
      <c r="AF47" s="173"/>
      <c r="AG47" s="174"/>
      <c r="AH47" s="174"/>
      <c r="AI47" s="174"/>
      <c r="AJ47" s="174" t="str">
        <f>"             " &amp; "콘테스트 페이지" &amp; " " &amp; ""</f>
        <v xml:space="preserve">             콘테스트 페이지 </v>
      </c>
      <c r="AK47" s="174"/>
      <c r="AL47" s="174"/>
    </row>
    <row r="48" spans="1:38" ht="12" customHeight="1" outlineLevel="4">
      <c r="A48" s="162"/>
      <c r="B48" s="162"/>
      <c r="C48" s="162">
        <v>5</v>
      </c>
      <c r="D48" s="163" t="s">
        <v>1530</v>
      </c>
      <c r="E48" s="164"/>
      <c r="F48" s="164"/>
      <c r="G48" s="164"/>
      <c r="H48" s="164"/>
      <c r="I48" s="164" t="s">
        <v>1624</v>
      </c>
      <c r="J48" s="164"/>
      <c r="K48" s="164"/>
      <c r="L48" s="164"/>
      <c r="M48" s="164"/>
      <c r="N48" s="164"/>
      <c r="O48" s="164"/>
      <c r="P48" s="165">
        <v>44054</v>
      </c>
      <c r="Q48" s="165">
        <v>44057</v>
      </c>
      <c r="R48" s="166"/>
      <c r="S48" s="167">
        <v>4</v>
      </c>
      <c r="T48" s="167">
        <v>4</v>
      </c>
      <c r="U48" s="167">
        <v>4</v>
      </c>
      <c r="V48" s="167">
        <v>4</v>
      </c>
      <c r="W48" s="165"/>
      <c r="X48" s="165"/>
      <c r="Y48" s="168"/>
      <c r="Z48" s="169">
        <v>0</v>
      </c>
      <c r="AA48" s="167"/>
      <c r="AB48" s="166"/>
      <c r="AC48" s="170"/>
      <c r="AD48" s="171">
        <v>1</v>
      </c>
      <c r="AE48" s="172">
        <v>1</v>
      </c>
      <c r="AF48" s="173"/>
      <c r="AG48" s="174"/>
      <c r="AH48" s="174"/>
      <c r="AI48" s="174"/>
      <c r="AJ48" s="174" t="str">
        <f>"                           " &amp; "추천" &amp; " " &amp; ""</f>
        <v xml:space="preserve">                           추천 </v>
      </c>
      <c r="AK48" s="174"/>
      <c r="AL48" s="174"/>
    </row>
    <row r="49" spans="1:38" ht="12.6" customHeight="1" outlineLevel="4">
      <c r="A49" s="162"/>
      <c r="B49" s="162"/>
      <c r="C49" s="162">
        <v>5</v>
      </c>
      <c r="D49" s="163" t="s">
        <v>1626</v>
      </c>
      <c r="E49" s="164"/>
      <c r="F49" s="164"/>
      <c r="G49" s="164"/>
      <c r="H49" s="164"/>
      <c r="I49" s="164" t="s">
        <v>1625</v>
      </c>
      <c r="J49" s="164"/>
      <c r="K49" s="164"/>
      <c r="L49" s="164"/>
      <c r="M49" s="164"/>
      <c r="N49" s="164"/>
      <c r="O49" s="164" t="s">
        <v>1643</v>
      </c>
      <c r="P49" s="165">
        <v>44051</v>
      </c>
      <c r="Q49" s="165">
        <v>44054</v>
      </c>
      <c r="R49" s="166"/>
      <c r="S49" s="167">
        <v>2</v>
      </c>
      <c r="T49" s="167">
        <v>2</v>
      </c>
      <c r="U49" s="167">
        <v>2</v>
      </c>
      <c r="V49" s="167">
        <v>2</v>
      </c>
      <c r="W49" s="165"/>
      <c r="X49" s="165"/>
      <c r="Y49" s="168"/>
      <c r="Z49" s="169">
        <v>0</v>
      </c>
      <c r="AA49" s="167"/>
      <c r="AB49" s="166"/>
      <c r="AC49" s="170"/>
      <c r="AD49" s="171">
        <v>1</v>
      </c>
      <c r="AE49" s="172">
        <v>1</v>
      </c>
      <c r="AF49" s="173"/>
      <c r="AG49" s="174"/>
      <c r="AH49" s="174"/>
      <c r="AI49" s="174"/>
      <c r="AJ49" s="174" t="str">
        <f>"             " &amp; "크롭" &amp; " " &amp; ""</f>
        <v xml:space="preserve">             크롭 </v>
      </c>
      <c r="AK49" s="174"/>
      <c r="AL49" s="174"/>
    </row>
    <row r="50" spans="1:38" ht="12.6" customHeight="1" outlineLevel="4">
      <c r="A50" s="162"/>
      <c r="B50" s="162"/>
      <c r="C50" s="162">
        <v>5</v>
      </c>
      <c r="D50" s="163" t="s">
        <v>1664</v>
      </c>
      <c r="E50" s="164"/>
      <c r="F50" s="164"/>
      <c r="G50" s="164"/>
      <c r="H50" s="164"/>
      <c r="I50" s="164" t="s">
        <v>1663</v>
      </c>
      <c r="J50" s="164"/>
      <c r="K50" s="164"/>
      <c r="L50" s="164"/>
      <c r="M50" s="164"/>
      <c r="N50" s="164"/>
      <c r="O50" s="164"/>
      <c r="P50" s="165">
        <v>44054</v>
      </c>
      <c r="Q50" s="165">
        <v>44057</v>
      </c>
      <c r="R50" s="166"/>
      <c r="S50" s="167">
        <v>4</v>
      </c>
      <c r="T50" s="167">
        <v>4</v>
      </c>
      <c r="U50" s="167">
        <v>4</v>
      </c>
      <c r="V50" s="167">
        <v>4</v>
      </c>
      <c r="W50" s="165"/>
      <c r="X50" s="165"/>
      <c r="Y50" s="168"/>
      <c r="Z50" s="169">
        <v>0</v>
      </c>
      <c r="AA50" s="167"/>
      <c r="AB50" s="166"/>
      <c r="AC50" s="170"/>
      <c r="AD50" s="171">
        <v>1</v>
      </c>
      <c r="AE50" s="172">
        <v>1</v>
      </c>
      <c r="AF50" s="173"/>
      <c r="AG50" s="174"/>
      <c r="AH50" s="174"/>
      <c r="AI50" s="174"/>
      <c r="AJ50" s="174" t="str">
        <f>"                           " &amp; "UI/UX 최종수정" &amp; " " &amp; ""</f>
        <v xml:space="preserve">                           UI/UX 최종수정 </v>
      </c>
      <c r="AK50" s="174"/>
      <c r="AL50" s="174"/>
    </row>
    <row r="51" spans="1:38" ht="12" customHeight="1" outlineLevel="2">
      <c r="A51" s="162"/>
      <c r="B51" s="162" t="s">
        <v>1437</v>
      </c>
      <c r="C51" s="162">
        <v>3</v>
      </c>
      <c r="D51" s="163" t="s">
        <v>1532</v>
      </c>
      <c r="E51" s="164"/>
      <c r="F51" s="164"/>
      <c r="G51" s="164" t="s">
        <v>1579</v>
      </c>
      <c r="H51" s="164"/>
      <c r="I51" s="164"/>
      <c r="J51" s="164"/>
      <c r="K51" s="164"/>
      <c r="L51" s="164"/>
      <c r="M51" s="164"/>
      <c r="N51" s="164"/>
      <c r="O51" s="164"/>
      <c r="P51" s="165">
        <v>44032</v>
      </c>
      <c r="Q51" s="165">
        <v>44053</v>
      </c>
      <c r="R51" s="166"/>
      <c r="S51" s="167">
        <v>27</v>
      </c>
      <c r="T51" s="167">
        <v>27</v>
      </c>
      <c r="U51" s="167">
        <v>16</v>
      </c>
      <c r="V51" s="167">
        <v>16</v>
      </c>
      <c r="W51" s="165"/>
      <c r="X51" s="165"/>
      <c r="Y51" s="168">
        <v>0</v>
      </c>
      <c r="Z51" s="169">
        <v>0</v>
      </c>
      <c r="AA51" s="167"/>
      <c r="AB51" s="166"/>
      <c r="AC51" s="170"/>
      <c r="AD51" s="171">
        <v>1</v>
      </c>
      <c r="AE51" s="172">
        <v>1</v>
      </c>
      <c r="AF51" s="173"/>
      <c r="AG51" s="174"/>
      <c r="AH51" s="174"/>
      <c r="AI51" s="174"/>
      <c r="AJ51" s="174" t="str">
        <f>"         " &amp; "백앤드 개발" &amp; " " &amp; ""</f>
        <v xml:space="preserve">         백앤드 개발 </v>
      </c>
      <c r="AK51" s="174"/>
      <c r="AL51" s="174"/>
    </row>
    <row r="52" spans="1:38" ht="12" customHeight="1" outlineLevel="3">
      <c r="A52" s="162" t="s">
        <v>1587</v>
      </c>
      <c r="B52" s="162" t="s">
        <v>1437</v>
      </c>
      <c r="C52" s="162">
        <v>4</v>
      </c>
      <c r="D52" s="163" t="s">
        <v>1533</v>
      </c>
      <c r="E52" s="164"/>
      <c r="F52" s="164"/>
      <c r="G52" s="164"/>
      <c r="H52" s="164" t="s">
        <v>1588</v>
      </c>
      <c r="I52" s="164"/>
      <c r="J52" s="164"/>
      <c r="K52" s="164"/>
      <c r="L52" s="164"/>
      <c r="M52" s="164"/>
      <c r="N52" s="164"/>
      <c r="O52" s="164"/>
      <c r="P52" s="165">
        <v>44032</v>
      </c>
      <c r="Q52" s="165">
        <v>44043</v>
      </c>
      <c r="R52" s="166"/>
      <c r="S52" s="167">
        <v>17</v>
      </c>
      <c r="T52" s="167">
        <v>17</v>
      </c>
      <c r="U52" s="167">
        <v>10</v>
      </c>
      <c r="V52" s="167">
        <v>10</v>
      </c>
      <c r="W52" s="165"/>
      <c r="X52" s="165"/>
      <c r="Y52" s="168">
        <v>0</v>
      </c>
      <c r="Z52" s="169">
        <v>0</v>
      </c>
      <c r="AA52" s="167"/>
      <c r="AB52" s="166"/>
      <c r="AC52" s="170"/>
      <c r="AD52" s="171">
        <v>1</v>
      </c>
      <c r="AE52" s="172">
        <v>1</v>
      </c>
      <c r="AF52" s="173"/>
      <c r="AG52" s="174"/>
      <c r="AH52" s="174" t="str">
        <f>"                           " &amp; "sub2" &amp; " " &amp; ""</f>
        <v xml:space="preserve">                           sub2 </v>
      </c>
      <c r="AI52" s="174"/>
      <c r="AJ52" s="174"/>
      <c r="AK52" s="174"/>
      <c r="AL52" s="174"/>
    </row>
    <row r="53" spans="1:38" ht="12" customHeight="1" outlineLevel="4">
      <c r="A53" s="162"/>
      <c r="B53" s="162" t="s">
        <v>1437</v>
      </c>
      <c r="C53" s="162">
        <v>5</v>
      </c>
      <c r="D53" s="163" t="s">
        <v>1608</v>
      </c>
      <c r="E53" s="164"/>
      <c r="F53" s="164"/>
      <c r="G53" s="164"/>
      <c r="H53" s="164"/>
      <c r="I53" s="164" t="s">
        <v>1583</v>
      </c>
      <c r="J53" s="164"/>
      <c r="K53" s="164"/>
      <c r="L53" s="164"/>
      <c r="M53" s="164"/>
      <c r="N53" s="164"/>
      <c r="O53" s="164"/>
      <c r="P53" s="165">
        <v>44032</v>
      </c>
      <c r="Q53" s="165">
        <v>44043</v>
      </c>
      <c r="R53" s="166"/>
      <c r="S53" s="167">
        <v>9</v>
      </c>
      <c r="T53" s="167">
        <v>9</v>
      </c>
      <c r="U53" s="167">
        <v>10</v>
      </c>
      <c r="V53" s="167">
        <v>10</v>
      </c>
      <c r="W53" s="165"/>
      <c r="X53" s="165"/>
      <c r="Y53" s="168">
        <v>0</v>
      </c>
      <c r="Z53" s="169">
        <v>0</v>
      </c>
      <c r="AA53" s="167"/>
      <c r="AB53" s="166"/>
      <c r="AC53" s="170"/>
      <c r="AD53" s="171">
        <v>1</v>
      </c>
      <c r="AE53" s="172">
        <v>1</v>
      </c>
      <c r="AF53" s="173"/>
      <c r="AG53" s="174"/>
      <c r="AH53" s="174" t="str">
        <f>"                           " &amp; "계정" &amp; " " &amp; ""</f>
        <v xml:space="preserve">                           계정 </v>
      </c>
      <c r="AI53" s="174"/>
      <c r="AJ53" s="174"/>
      <c r="AK53" s="174"/>
      <c r="AL53" s="174"/>
    </row>
    <row r="54" spans="1:38" ht="39.6" outlineLevel="5">
      <c r="A54" s="162"/>
      <c r="B54" s="162"/>
      <c r="C54" s="162">
        <v>6</v>
      </c>
      <c r="D54" s="163" t="s">
        <v>1609</v>
      </c>
      <c r="E54" s="164"/>
      <c r="F54" s="164"/>
      <c r="G54" s="164"/>
      <c r="H54" s="164"/>
      <c r="I54" s="164"/>
      <c r="J54" s="164" t="s">
        <v>1590</v>
      </c>
      <c r="K54" s="164"/>
      <c r="L54" s="164"/>
      <c r="M54" s="164"/>
      <c r="N54" s="164"/>
      <c r="O54" s="284" t="s">
        <v>1615</v>
      </c>
      <c r="P54" s="165">
        <v>44032</v>
      </c>
      <c r="Q54" s="165">
        <v>44036</v>
      </c>
      <c r="R54" s="166"/>
      <c r="S54" s="167">
        <v>5</v>
      </c>
      <c r="T54" s="167">
        <v>5</v>
      </c>
      <c r="U54" s="167">
        <v>5</v>
      </c>
      <c r="V54" s="167">
        <v>5</v>
      </c>
      <c r="W54" s="165"/>
      <c r="X54" s="165"/>
      <c r="Y54" s="168"/>
      <c r="Z54" s="169">
        <v>0</v>
      </c>
      <c r="AA54" s="167"/>
      <c r="AB54" s="166"/>
      <c r="AC54" s="170"/>
      <c r="AD54" s="171">
        <v>1</v>
      </c>
      <c r="AE54" s="172">
        <v>1</v>
      </c>
      <c r="AF54" s="173"/>
      <c r="AG54" s="174" t="str">
        <f>"                           " &amp; "로그인" &amp; " " &amp; ""</f>
        <v xml:space="preserve">                           로그인 </v>
      </c>
      <c r="AH54" s="174"/>
      <c r="AI54" s="174"/>
      <c r="AJ54" s="174"/>
      <c r="AK54" s="174"/>
      <c r="AL54" s="174"/>
    </row>
    <row r="55" spans="1:38" ht="12" customHeight="1" outlineLevel="5">
      <c r="A55" s="162"/>
      <c r="B55" s="162"/>
      <c r="C55" s="162">
        <v>6</v>
      </c>
      <c r="D55" s="163" t="s">
        <v>1617</v>
      </c>
      <c r="E55" s="164"/>
      <c r="F55" s="164"/>
      <c r="G55" s="164"/>
      <c r="H55" s="164"/>
      <c r="I55" s="164"/>
      <c r="J55" s="164" t="s">
        <v>1613</v>
      </c>
      <c r="K55" s="164"/>
      <c r="L55" s="164"/>
      <c r="M55" s="164"/>
      <c r="N55" s="164"/>
      <c r="O55" s="164" t="s">
        <v>1614</v>
      </c>
      <c r="P55" s="165">
        <v>44041</v>
      </c>
      <c r="Q55" s="165">
        <v>44043</v>
      </c>
      <c r="R55" s="166"/>
      <c r="S55" s="167">
        <v>3</v>
      </c>
      <c r="T55" s="167">
        <v>3</v>
      </c>
      <c r="U55" s="167">
        <v>3</v>
      </c>
      <c r="V55" s="167">
        <v>3</v>
      </c>
      <c r="W55" s="165"/>
      <c r="X55" s="165"/>
      <c r="Y55" s="168"/>
      <c r="Z55" s="169">
        <v>0</v>
      </c>
      <c r="AA55" s="167"/>
      <c r="AB55" s="166"/>
      <c r="AC55" s="170"/>
      <c r="AD55" s="171">
        <v>1</v>
      </c>
      <c r="AE55" s="172">
        <v>1</v>
      </c>
      <c r="AF55" s="173"/>
      <c r="AG55" s="174"/>
      <c r="AH55" s="174" t="str">
        <f>"                           " &amp; "로그아웃" &amp; " " &amp; ""</f>
        <v xml:space="preserve">                           로그아웃 </v>
      </c>
      <c r="AI55" s="174"/>
      <c r="AJ55" s="174"/>
      <c r="AK55" s="174"/>
      <c r="AL55" s="174"/>
    </row>
    <row r="56" spans="1:38" ht="12" customHeight="1" outlineLevel="5">
      <c r="A56" s="162"/>
      <c r="B56" s="162"/>
      <c r="C56" s="162">
        <v>6</v>
      </c>
      <c r="D56" s="163" t="s">
        <v>1618</v>
      </c>
      <c r="E56" s="164"/>
      <c r="F56" s="164"/>
      <c r="G56" s="164"/>
      <c r="H56" s="164"/>
      <c r="I56" s="164"/>
      <c r="J56" s="164" t="s">
        <v>1592</v>
      </c>
      <c r="K56" s="164"/>
      <c r="L56" s="164"/>
      <c r="M56" s="164"/>
      <c r="N56" s="164"/>
      <c r="O56" s="164"/>
      <c r="P56" s="165">
        <v>44036</v>
      </c>
      <c r="Q56" s="165">
        <v>44036</v>
      </c>
      <c r="R56" s="166"/>
      <c r="S56" s="167">
        <v>1</v>
      </c>
      <c r="T56" s="167">
        <v>1</v>
      </c>
      <c r="U56" s="167">
        <v>1</v>
      </c>
      <c r="V56" s="167">
        <v>1</v>
      </c>
      <c r="W56" s="165"/>
      <c r="X56" s="165"/>
      <c r="Y56" s="168"/>
      <c r="Z56" s="169">
        <v>0</v>
      </c>
      <c r="AA56" s="167"/>
      <c r="AB56" s="166"/>
      <c r="AC56" s="170"/>
      <c r="AD56" s="171">
        <v>1</v>
      </c>
      <c r="AE56" s="172">
        <v>1</v>
      </c>
      <c r="AF56" s="173"/>
      <c r="AG56" s="174" t="str">
        <f>"                           " &amp; "계정 설정" &amp; " " &amp; ""</f>
        <v xml:space="preserve">                           계정 설정 </v>
      </c>
      <c r="AH56" s="174"/>
      <c r="AI56" s="174"/>
      <c r="AJ56" s="174"/>
      <c r="AK56" s="174"/>
      <c r="AL56" s="174"/>
    </row>
    <row r="57" spans="1:38" ht="12" customHeight="1" outlineLevel="4">
      <c r="A57" s="162"/>
      <c r="B57" s="162" t="s">
        <v>1437</v>
      </c>
      <c r="C57" s="162">
        <v>5</v>
      </c>
      <c r="D57" s="163" t="s">
        <v>1610</v>
      </c>
      <c r="E57" s="164"/>
      <c r="F57" s="164"/>
      <c r="G57" s="164"/>
      <c r="H57" s="164"/>
      <c r="I57" s="164" t="s">
        <v>1584</v>
      </c>
      <c r="J57" s="164"/>
      <c r="K57" s="164"/>
      <c r="L57" s="164"/>
      <c r="M57" s="164"/>
      <c r="N57" s="164"/>
      <c r="O57" s="164"/>
      <c r="P57" s="165">
        <v>44037</v>
      </c>
      <c r="Q57" s="165">
        <v>44039</v>
      </c>
      <c r="R57" s="166"/>
      <c r="S57" s="167">
        <v>1</v>
      </c>
      <c r="T57" s="167">
        <v>1</v>
      </c>
      <c r="U57" s="167">
        <v>1</v>
      </c>
      <c r="V57" s="167">
        <v>1</v>
      </c>
      <c r="W57" s="165"/>
      <c r="X57" s="165"/>
      <c r="Y57" s="168">
        <v>0</v>
      </c>
      <c r="Z57" s="169">
        <v>0</v>
      </c>
      <c r="AA57" s="167"/>
      <c r="AB57" s="166"/>
      <c r="AC57" s="170"/>
      <c r="AD57" s="171">
        <v>1</v>
      </c>
      <c r="AE57" s="172">
        <v>1</v>
      </c>
      <c r="AF57" s="173"/>
      <c r="AG57" s="174"/>
      <c r="AH57" s="174" t="str">
        <f>"         " &amp; "피드" &amp; " " &amp; ""</f>
        <v xml:space="preserve">         피드 </v>
      </c>
      <c r="AI57" s="174"/>
      <c r="AJ57" s="174"/>
      <c r="AK57" s="174"/>
      <c r="AL57" s="174"/>
    </row>
    <row r="58" spans="1:38" ht="12" customHeight="1" outlineLevel="5">
      <c r="A58" s="162"/>
      <c r="B58" s="162"/>
      <c r="C58" s="162">
        <v>6</v>
      </c>
      <c r="D58" s="163" t="s">
        <v>1619</v>
      </c>
      <c r="E58" s="164"/>
      <c r="F58" s="164"/>
      <c r="G58" s="164"/>
      <c r="H58" s="164"/>
      <c r="I58" s="164"/>
      <c r="J58" s="164" t="s">
        <v>1616</v>
      </c>
      <c r="K58" s="164"/>
      <c r="L58" s="164"/>
      <c r="M58" s="164"/>
      <c r="N58" s="164"/>
      <c r="O58" s="164"/>
      <c r="P58" s="165">
        <v>44037</v>
      </c>
      <c r="Q58" s="165">
        <v>44038</v>
      </c>
      <c r="R58" s="166"/>
      <c r="S58" s="167">
        <v>0</v>
      </c>
      <c r="T58" s="167">
        <v>0</v>
      </c>
      <c r="U58" s="167">
        <v>0</v>
      </c>
      <c r="V58" s="167">
        <v>0</v>
      </c>
      <c r="W58" s="165"/>
      <c r="X58" s="165"/>
      <c r="Y58" s="168"/>
      <c r="Z58" s="169">
        <v>0</v>
      </c>
      <c r="AA58" s="167"/>
      <c r="AB58" s="166"/>
      <c r="AC58" s="170"/>
      <c r="AD58" s="171">
        <v>0</v>
      </c>
      <c r="AE58" s="172">
        <v>1</v>
      </c>
      <c r="AF58" s="173"/>
      <c r="AG58" s="174"/>
      <c r="AH58" s="174" t="str">
        <f>"    " &amp; "CRUD" &amp; " " &amp; ""</f>
        <v xml:space="preserve">    CRUD </v>
      </c>
      <c r="AI58" s="174"/>
      <c r="AJ58" s="174"/>
      <c r="AK58" s="174"/>
      <c r="AL58" s="174"/>
    </row>
    <row r="59" spans="1:38" ht="12" customHeight="1" outlineLevel="5">
      <c r="A59" s="162"/>
      <c r="B59" s="162"/>
      <c r="C59" s="162">
        <v>6</v>
      </c>
      <c r="D59" s="163" t="s">
        <v>1621</v>
      </c>
      <c r="E59" s="164"/>
      <c r="F59" s="164"/>
      <c r="G59" s="164"/>
      <c r="H59" s="164"/>
      <c r="I59" s="164"/>
      <c r="J59" s="164" t="s">
        <v>1620</v>
      </c>
      <c r="K59" s="164"/>
      <c r="L59" s="164"/>
      <c r="M59" s="164"/>
      <c r="N59" s="164"/>
      <c r="O59" s="164"/>
      <c r="P59" s="165">
        <v>44038</v>
      </c>
      <c r="Q59" s="165">
        <v>44039</v>
      </c>
      <c r="R59" s="166"/>
      <c r="S59" s="167">
        <v>1</v>
      </c>
      <c r="T59" s="167">
        <v>1</v>
      </c>
      <c r="U59" s="167">
        <v>1</v>
      </c>
      <c r="V59" s="167">
        <v>1</v>
      </c>
      <c r="W59" s="165"/>
      <c r="X59" s="165"/>
      <c r="Y59" s="168"/>
      <c r="Z59" s="169">
        <v>0</v>
      </c>
      <c r="AA59" s="167"/>
      <c r="AB59" s="166"/>
      <c r="AC59" s="170"/>
      <c r="AD59" s="171">
        <v>1</v>
      </c>
      <c r="AE59" s="172">
        <v>1</v>
      </c>
      <c r="AF59" s="173"/>
      <c r="AG59" s="174"/>
      <c r="AH59" s="174" t="str">
        <f>"         " &amp; "팔로우피드" &amp; " " &amp; ""</f>
        <v xml:space="preserve">         팔로우피드 </v>
      </c>
      <c r="AI59" s="174"/>
      <c r="AJ59" s="174"/>
      <c r="AK59" s="174"/>
      <c r="AL59" s="174"/>
    </row>
    <row r="60" spans="1:38" ht="12" customHeight="1" outlineLevel="4">
      <c r="A60" s="162"/>
      <c r="B60" s="162"/>
      <c r="C60" s="162">
        <v>5</v>
      </c>
      <c r="D60" s="163" t="s">
        <v>1611</v>
      </c>
      <c r="E60" s="164"/>
      <c r="F60" s="164"/>
      <c r="G60" s="164"/>
      <c r="H60" s="164"/>
      <c r="I60" s="164" t="s">
        <v>1585</v>
      </c>
      <c r="J60" s="164"/>
      <c r="K60" s="164"/>
      <c r="L60" s="164"/>
      <c r="M60" s="164"/>
      <c r="N60" s="164"/>
      <c r="O60" s="164"/>
      <c r="P60" s="165">
        <v>44038</v>
      </c>
      <c r="Q60" s="165">
        <v>44039</v>
      </c>
      <c r="R60" s="166"/>
      <c r="S60" s="167">
        <v>1</v>
      </c>
      <c r="T60" s="167">
        <v>1</v>
      </c>
      <c r="U60" s="167">
        <v>1</v>
      </c>
      <c r="V60" s="167">
        <v>1</v>
      </c>
      <c r="W60" s="165"/>
      <c r="X60" s="165"/>
      <c r="Y60" s="168"/>
      <c r="Z60" s="169">
        <v>0</v>
      </c>
      <c r="AA60" s="167"/>
      <c r="AB60" s="166"/>
      <c r="AC60" s="170"/>
      <c r="AD60" s="171">
        <v>1</v>
      </c>
      <c r="AE60" s="172">
        <v>1</v>
      </c>
      <c r="AF60" s="173"/>
      <c r="AG60" s="174"/>
      <c r="AH60" s="174" t="str">
        <f>"         " &amp; "팔로우" &amp; " " &amp; ""</f>
        <v xml:space="preserve">         팔로우 </v>
      </c>
      <c r="AI60" s="174"/>
      <c r="AJ60" s="174"/>
      <c r="AK60" s="174"/>
      <c r="AL60" s="174"/>
    </row>
    <row r="61" spans="1:38" ht="12" customHeight="1" outlineLevel="4">
      <c r="A61" s="162"/>
      <c r="B61" s="162"/>
      <c r="C61" s="162">
        <v>5</v>
      </c>
      <c r="D61" s="163" t="s">
        <v>1612</v>
      </c>
      <c r="E61" s="164"/>
      <c r="F61" s="164"/>
      <c r="G61" s="164"/>
      <c r="H61" s="164"/>
      <c r="I61" s="164" t="s">
        <v>1596</v>
      </c>
      <c r="J61" s="164"/>
      <c r="K61" s="164"/>
      <c r="L61" s="164"/>
      <c r="M61" s="164"/>
      <c r="N61" s="164"/>
      <c r="O61" s="164"/>
      <c r="P61" s="165">
        <v>44039</v>
      </c>
      <c r="Q61" s="165">
        <v>44040</v>
      </c>
      <c r="R61" s="166"/>
      <c r="S61" s="167">
        <v>2</v>
      </c>
      <c r="T61" s="167">
        <v>2</v>
      </c>
      <c r="U61" s="167">
        <v>2</v>
      </c>
      <c r="V61" s="167">
        <v>2</v>
      </c>
      <c r="W61" s="165"/>
      <c r="X61" s="165"/>
      <c r="Y61" s="168"/>
      <c r="Z61" s="169">
        <v>0</v>
      </c>
      <c r="AA61" s="167"/>
      <c r="AB61" s="166"/>
      <c r="AC61" s="170"/>
      <c r="AD61" s="171">
        <v>1</v>
      </c>
      <c r="AE61" s="172">
        <v>1</v>
      </c>
      <c r="AF61" s="173"/>
      <c r="AG61" s="174"/>
      <c r="AH61" s="174" t="str">
        <f>"             " &amp; "검색" &amp; " " &amp; ""</f>
        <v xml:space="preserve">             검색 </v>
      </c>
      <c r="AI61" s="174"/>
      <c r="AJ61" s="174"/>
      <c r="AK61" s="174"/>
      <c r="AL61" s="174"/>
    </row>
    <row r="62" spans="1:38" ht="12" customHeight="1" outlineLevel="4">
      <c r="A62" s="162"/>
      <c r="B62" s="162"/>
      <c r="C62" s="162">
        <v>5</v>
      </c>
      <c r="D62" s="163" t="s">
        <v>1627</v>
      </c>
      <c r="E62" s="164"/>
      <c r="F62" s="164"/>
      <c r="G62" s="164"/>
      <c r="H62" s="164"/>
      <c r="I62" s="164" t="s">
        <v>1593</v>
      </c>
      <c r="J62" s="164"/>
      <c r="K62" s="164"/>
      <c r="L62" s="164"/>
      <c r="M62" s="164"/>
      <c r="N62" s="164"/>
      <c r="O62" s="164"/>
      <c r="P62" s="165">
        <v>44040</v>
      </c>
      <c r="Q62" s="165">
        <v>44041</v>
      </c>
      <c r="R62" s="166"/>
      <c r="S62" s="167">
        <v>2</v>
      </c>
      <c r="T62" s="167">
        <v>2</v>
      </c>
      <c r="U62" s="167">
        <v>2</v>
      </c>
      <c r="V62" s="167">
        <v>2</v>
      </c>
      <c r="W62" s="165"/>
      <c r="X62" s="165"/>
      <c r="Y62" s="168"/>
      <c r="Z62" s="169">
        <v>0</v>
      </c>
      <c r="AA62" s="167"/>
      <c r="AB62" s="166"/>
      <c r="AC62" s="170"/>
      <c r="AD62" s="171">
        <v>1</v>
      </c>
      <c r="AE62" s="172">
        <v>1</v>
      </c>
      <c r="AF62" s="173"/>
      <c r="AG62" s="174"/>
      <c r="AH62" s="174" t="str">
        <f>"                  " &amp; "댓글" &amp; " " &amp; ""</f>
        <v xml:space="preserve">                  댓글 </v>
      </c>
      <c r="AI62" s="174"/>
      <c r="AJ62" s="174"/>
      <c r="AK62" s="174"/>
      <c r="AL62" s="174"/>
    </row>
    <row r="63" spans="1:38" ht="12" customHeight="1" outlineLevel="4">
      <c r="A63" s="162"/>
      <c r="B63" s="162"/>
      <c r="C63" s="162">
        <v>5</v>
      </c>
      <c r="D63" s="163" t="s">
        <v>1628</v>
      </c>
      <c r="E63" s="164"/>
      <c r="F63" s="164"/>
      <c r="G63" s="164"/>
      <c r="H63" s="164"/>
      <c r="I63" s="164" t="s">
        <v>1586</v>
      </c>
      <c r="J63" s="164"/>
      <c r="K63" s="164"/>
      <c r="L63" s="164"/>
      <c r="M63" s="164"/>
      <c r="N63" s="164"/>
      <c r="O63" s="164"/>
      <c r="P63" s="165">
        <v>44040</v>
      </c>
      <c r="Q63" s="165">
        <v>44041</v>
      </c>
      <c r="R63" s="166"/>
      <c r="S63" s="167">
        <v>2</v>
      </c>
      <c r="T63" s="167">
        <v>2</v>
      </c>
      <c r="U63" s="167">
        <v>2</v>
      </c>
      <c r="V63" s="167">
        <v>2</v>
      </c>
      <c r="W63" s="165"/>
      <c r="X63" s="165"/>
      <c r="Y63" s="168"/>
      <c r="Z63" s="169">
        <v>0</v>
      </c>
      <c r="AA63" s="167"/>
      <c r="AB63" s="166"/>
      <c r="AC63" s="170"/>
      <c r="AD63" s="171">
        <v>1</v>
      </c>
      <c r="AE63" s="172">
        <v>1</v>
      </c>
      <c r="AF63" s="173"/>
      <c r="AG63" s="174"/>
      <c r="AH63" s="174" t="str">
        <f>"                  " &amp; "알림" &amp; " " &amp; ""</f>
        <v xml:space="preserve">                  알림 </v>
      </c>
      <c r="AI63" s="174"/>
      <c r="AJ63" s="174"/>
      <c r="AK63" s="174"/>
      <c r="AL63" s="174"/>
    </row>
    <row r="64" spans="1:38" ht="12" customHeight="1" outlineLevel="3">
      <c r="A64" s="162"/>
      <c r="B64" s="162" t="s">
        <v>1437</v>
      </c>
      <c r="C64" s="162">
        <v>4</v>
      </c>
      <c r="D64" s="163" t="s">
        <v>1535</v>
      </c>
      <c r="E64" s="164"/>
      <c r="F64" s="164"/>
      <c r="G64" s="164"/>
      <c r="H64" s="164" t="s">
        <v>1589</v>
      </c>
      <c r="I64" s="164"/>
      <c r="J64" s="164"/>
      <c r="K64" s="164"/>
      <c r="L64" s="164"/>
      <c r="M64" s="164"/>
      <c r="N64" s="164"/>
      <c r="O64" s="283"/>
      <c r="P64" s="165">
        <v>44044</v>
      </c>
      <c r="Q64" s="165">
        <v>44053</v>
      </c>
      <c r="R64" s="166"/>
      <c r="S64" s="167">
        <v>10</v>
      </c>
      <c r="T64" s="167">
        <v>10</v>
      </c>
      <c r="U64" s="167">
        <v>6</v>
      </c>
      <c r="V64" s="167">
        <v>6</v>
      </c>
      <c r="W64" s="165"/>
      <c r="X64" s="165"/>
      <c r="Y64" s="168">
        <v>0</v>
      </c>
      <c r="Z64" s="169">
        <v>0</v>
      </c>
      <c r="AA64" s="167"/>
      <c r="AB64" s="166"/>
      <c r="AC64" s="170"/>
      <c r="AD64" s="171">
        <v>1</v>
      </c>
      <c r="AE64" s="172">
        <v>1</v>
      </c>
      <c r="AF64" s="173"/>
      <c r="AG64" s="174"/>
      <c r="AH64" s="174"/>
      <c r="AI64" s="174"/>
      <c r="AJ64" s="174" t="str">
        <f>"         " &amp; "sub3" &amp; " " &amp; ""</f>
        <v xml:space="preserve">         sub3 </v>
      </c>
      <c r="AK64" s="174"/>
      <c r="AL64" s="174"/>
    </row>
    <row r="65" spans="1:38" ht="12" customHeight="1" outlineLevel="4">
      <c r="A65" s="162"/>
      <c r="B65" s="162" t="s">
        <v>1437</v>
      </c>
      <c r="C65" s="162">
        <v>5</v>
      </c>
      <c r="D65" s="163" t="s">
        <v>1629</v>
      </c>
      <c r="E65" s="164"/>
      <c r="F65" s="164"/>
      <c r="G65" s="164"/>
      <c r="H65" s="164"/>
      <c r="I65" s="164" t="s">
        <v>1631</v>
      </c>
      <c r="J65" s="164"/>
      <c r="K65" s="164"/>
      <c r="L65" s="164"/>
      <c r="M65" s="164"/>
      <c r="N65" s="164"/>
      <c r="O65" s="164"/>
      <c r="P65" s="165">
        <v>44044</v>
      </c>
      <c r="Q65" s="165">
        <v>44047</v>
      </c>
      <c r="R65" s="166"/>
      <c r="S65" s="167">
        <v>3</v>
      </c>
      <c r="T65" s="167">
        <v>3</v>
      </c>
      <c r="U65" s="167">
        <v>2</v>
      </c>
      <c r="V65" s="167">
        <v>2</v>
      </c>
      <c r="W65" s="165"/>
      <c r="X65" s="165"/>
      <c r="Y65" s="168">
        <v>0</v>
      </c>
      <c r="Z65" s="169">
        <v>0</v>
      </c>
      <c r="AA65" s="167"/>
      <c r="AB65" s="166"/>
      <c r="AC65" s="170"/>
      <c r="AD65" s="171">
        <v>1</v>
      </c>
      <c r="AE65" s="172">
        <v>1</v>
      </c>
      <c r="AF65" s="173"/>
      <c r="AG65" s="174"/>
      <c r="AH65" s="174"/>
      <c r="AI65" s="174" t="str">
        <f>"             " &amp; "멀티파트파일 관리" &amp; " " &amp; ""</f>
        <v xml:space="preserve">             멀티파트파일 관리 </v>
      </c>
      <c r="AJ65" s="174"/>
      <c r="AK65" s="174"/>
      <c r="AL65" s="174"/>
    </row>
    <row r="66" spans="1:38" ht="12" customHeight="1" outlineLevel="5">
      <c r="A66" s="162"/>
      <c r="B66" s="162"/>
      <c r="C66" s="162">
        <v>6</v>
      </c>
      <c r="D66" s="163" t="s">
        <v>1650</v>
      </c>
      <c r="E66" s="164"/>
      <c r="F66" s="164"/>
      <c r="G66" s="164"/>
      <c r="H66" s="164"/>
      <c r="I66" s="164"/>
      <c r="J66" s="164" t="s">
        <v>1649</v>
      </c>
      <c r="K66" s="164"/>
      <c r="L66" s="164"/>
      <c r="M66" s="164"/>
      <c r="N66" s="164"/>
      <c r="O66" s="164" t="s">
        <v>1656</v>
      </c>
      <c r="P66" s="165">
        <v>44044</v>
      </c>
      <c r="Q66" s="165">
        <v>44046</v>
      </c>
      <c r="R66" s="166"/>
      <c r="S66" s="167">
        <v>1</v>
      </c>
      <c r="T66" s="167">
        <v>1</v>
      </c>
      <c r="U66" s="167">
        <v>1</v>
      </c>
      <c r="V66" s="167">
        <v>1</v>
      </c>
      <c r="W66" s="165"/>
      <c r="X66" s="165"/>
      <c r="Y66" s="168"/>
      <c r="Z66" s="169">
        <v>0</v>
      </c>
      <c r="AA66" s="167"/>
      <c r="AB66" s="166"/>
      <c r="AC66" s="170"/>
      <c r="AD66" s="171">
        <v>1</v>
      </c>
      <c r="AE66" s="172">
        <v>1</v>
      </c>
      <c r="AF66" s="173"/>
      <c r="AG66" s="174"/>
      <c r="AH66" s="174"/>
      <c r="AI66" s="174" t="str">
        <f>"         " &amp; "파일 사이즈 압축 저장" &amp; " " &amp; ""</f>
        <v xml:space="preserve">         파일 사이즈 압축 저장 </v>
      </c>
      <c r="AJ66" s="174"/>
      <c r="AK66" s="174"/>
      <c r="AL66" s="174"/>
    </row>
    <row r="67" spans="1:38" ht="12" customHeight="1" outlineLevel="5">
      <c r="A67" s="162"/>
      <c r="B67" s="162"/>
      <c r="C67" s="162">
        <v>6</v>
      </c>
      <c r="D67" s="163" t="s">
        <v>1651</v>
      </c>
      <c r="E67" s="164"/>
      <c r="F67" s="164"/>
      <c r="G67" s="164"/>
      <c r="H67" s="164"/>
      <c r="I67" s="164"/>
      <c r="J67" s="164" t="s">
        <v>1648</v>
      </c>
      <c r="K67" s="164"/>
      <c r="L67" s="164"/>
      <c r="M67" s="164"/>
      <c r="N67" s="164"/>
      <c r="O67" s="164"/>
      <c r="P67" s="165">
        <v>44045</v>
      </c>
      <c r="Q67" s="165">
        <v>44047</v>
      </c>
      <c r="R67" s="166"/>
      <c r="S67" s="167">
        <v>2</v>
      </c>
      <c r="T67" s="167">
        <v>2</v>
      </c>
      <c r="U67" s="167">
        <v>2</v>
      </c>
      <c r="V67" s="167">
        <v>2</v>
      </c>
      <c r="W67" s="165"/>
      <c r="X67" s="165"/>
      <c r="Y67" s="168"/>
      <c r="Z67" s="169">
        <v>0</v>
      </c>
      <c r="AA67" s="167"/>
      <c r="AB67" s="166"/>
      <c r="AC67" s="170"/>
      <c r="AD67" s="171">
        <v>1</v>
      </c>
      <c r="AE67" s="172">
        <v>1</v>
      </c>
      <c r="AF67" s="173"/>
      <c r="AG67" s="174"/>
      <c r="AH67" s="174"/>
      <c r="AI67" s="174" t="str">
        <f>"             " &amp; "저장방식 변경" &amp; " " &amp; ""</f>
        <v xml:space="preserve">             저장방식 변경 </v>
      </c>
      <c r="AJ67" s="174"/>
      <c r="AK67" s="174"/>
      <c r="AL67" s="174"/>
    </row>
    <row r="68" spans="1:38" ht="13.2" outlineLevel="4">
      <c r="A68" s="162"/>
      <c r="B68" s="162" t="s">
        <v>1437</v>
      </c>
      <c r="C68" s="162">
        <v>5</v>
      </c>
      <c r="D68" s="163" t="s">
        <v>1630</v>
      </c>
      <c r="E68" s="164"/>
      <c r="F68" s="164"/>
      <c r="G68" s="164"/>
      <c r="H68" s="164"/>
      <c r="I68" s="283" t="s">
        <v>1624</v>
      </c>
      <c r="J68" s="164"/>
      <c r="K68" s="164"/>
      <c r="L68" s="164"/>
      <c r="M68" s="164"/>
      <c r="N68" s="164"/>
      <c r="O68" s="284"/>
      <c r="P68" s="165">
        <v>44047</v>
      </c>
      <c r="Q68" s="165">
        <v>44049</v>
      </c>
      <c r="R68" s="166"/>
      <c r="S68" s="167">
        <v>5</v>
      </c>
      <c r="T68" s="167">
        <v>5</v>
      </c>
      <c r="U68" s="167">
        <v>3</v>
      </c>
      <c r="V68" s="167">
        <v>3</v>
      </c>
      <c r="W68" s="165"/>
      <c r="X68" s="165"/>
      <c r="Y68" s="168">
        <v>0</v>
      </c>
      <c r="Z68" s="169">
        <v>0</v>
      </c>
      <c r="AA68" s="167"/>
      <c r="AB68" s="166"/>
      <c r="AC68" s="170"/>
      <c r="AD68" s="171">
        <v>1</v>
      </c>
      <c r="AE68" s="172">
        <v>1</v>
      </c>
      <c r="AF68" s="173"/>
      <c r="AG68" s="174"/>
      <c r="AH68" s="174"/>
      <c r="AI68" s="174" t="str">
        <f>"                      " &amp; "추천" &amp; " " &amp; ""</f>
        <v xml:space="preserve">                      추천 </v>
      </c>
      <c r="AJ68" s="174"/>
      <c r="AK68" s="174"/>
      <c r="AL68" s="174"/>
    </row>
    <row r="69" spans="1:38" ht="39.6" outlineLevel="5">
      <c r="A69" s="162"/>
      <c r="B69" s="162"/>
      <c r="C69" s="162">
        <v>6</v>
      </c>
      <c r="D69" s="163" t="s">
        <v>1653</v>
      </c>
      <c r="E69" s="164"/>
      <c r="F69" s="164"/>
      <c r="G69" s="164"/>
      <c r="H69" s="164"/>
      <c r="I69" s="283"/>
      <c r="J69" s="164" t="s">
        <v>1652</v>
      </c>
      <c r="K69" s="164"/>
      <c r="L69" s="164"/>
      <c r="M69" s="164"/>
      <c r="N69" s="164"/>
      <c r="O69" s="284" t="s">
        <v>1655</v>
      </c>
      <c r="P69" s="165">
        <v>44047</v>
      </c>
      <c r="Q69" s="165">
        <v>44048</v>
      </c>
      <c r="R69" s="166"/>
      <c r="S69" s="167">
        <v>2</v>
      </c>
      <c r="T69" s="167">
        <v>2</v>
      </c>
      <c r="U69" s="167">
        <v>2</v>
      </c>
      <c r="V69" s="167">
        <v>2</v>
      </c>
      <c r="W69" s="165"/>
      <c r="X69" s="165"/>
      <c r="Y69" s="168"/>
      <c r="Z69" s="169">
        <v>0</v>
      </c>
      <c r="AA69" s="167"/>
      <c r="AB69" s="166"/>
      <c r="AC69" s="170"/>
      <c r="AD69" s="171">
        <v>1</v>
      </c>
      <c r="AE69" s="172">
        <v>1</v>
      </c>
      <c r="AF69" s="173"/>
      <c r="AG69" s="174"/>
      <c r="AH69" s="174"/>
      <c r="AI69" s="174" t="str">
        <f>"                  " &amp; "사용자 로그 저장" &amp; " " &amp; ""</f>
        <v xml:space="preserve">                  사용자 로그 저장 </v>
      </c>
      <c r="AJ69" s="174"/>
      <c r="AK69" s="174"/>
      <c r="AL69" s="174"/>
    </row>
    <row r="70" spans="1:38" ht="26.4" outlineLevel="5">
      <c r="A70" s="162"/>
      <c r="B70" s="162"/>
      <c r="C70" s="162">
        <v>6</v>
      </c>
      <c r="D70" s="163" t="s">
        <v>1654</v>
      </c>
      <c r="E70" s="164"/>
      <c r="F70" s="164"/>
      <c r="G70" s="164"/>
      <c r="H70" s="164"/>
      <c r="I70" s="283"/>
      <c r="J70" s="164" t="s">
        <v>1658</v>
      </c>
      <c r="K70" s="164"/>
      <c r="L70" s="164"/>
      <c r="M70" s="164"/>
      <c r="N70" s="164"/>
      <c r="O70" s="284" t="s">
        <v>1659</v>
      </c>
      <c r="P70" s="165">
        <v>44048</v>
      </c>
      <c r="Q70" s="165">
        <v>44049</v>
      </c>
      <c r="R70" s="166"/>
      <c r="S70" s="167">
        <v>2</v>
      </c>
      <c r="T70" s="167">
        <v>2</v>
      </c>
      <c r="U70" s="167">
        <v>2</v>
      </c>
      <c r="V70" s="167">
        <v>2</v>
      </c>
      <c r="W70" s="165"/>
      <c r="X70" s="165"/>
      <c r="Y70" s="168"/>
      <c r="Z70" s="169">
        <v>0</v>
      </c>
      <c r="AA70" s="167"/>
      <c r="AB70" s="166"/>
      <c r="AC70" s="170"/>
      <c r="AD70" s="171">
        <v>1</v>
      </c>
      <c r="AE70" s="172">
        <v>1</v>
      </c>
      <c r="AF70" s="173"/>
      <c r="AG70" s="174"/>
      <c r="AH70" s="174"/>
      <c r="AI70" s="174" t="str">
        <f>"                      " &amp; "로그 분석" &amp; " " &amp; ""</f>
        <v xml:space="preserve">                      로그 분석 </v>
      </c>
      <c r="AJ70" s="174"/>
      <c r="AK70" s="174"/>
      <c r="AL70" s="174"/>
    </row>
    <row r="71" spans="1:38" ht="13.2" outlineLevel="5">
      <c r="A71" s="162"/>
      <c r="B71" s="162"/>
      <c r="C71" s="162">
        <v>6</v>
      </c>
      <c r="D71" s="163" t="s">
        <v>1661</v>
      </c>
      <c r="E71" s="164"/>
      <c r="F71" s="164"/>
      <c r="G71" s="164"/>
      <c r="H71" s="164"/>
      <c r="I71" s="283"/>
      <c r="J71" s="164" t="s">
        <v>1657</v>
      </c>
      <c r="K71" s="164"/>
      <c r="L71" s="164"/>
      <c r="M71" s="164"/>
      <c r="N71" s="164"/>
      <c r="O71" s="284" t="s">
        <v>1660</v>
      </c>
      <c r="P71" s="165">
        <v>44049</v>
      </c>
      <c r="Q71" s="165">
        <v>44049</v>
      </c>
      <c r="R71" s="166"/>
      <c r="S71" s="167">
        <v>1</v>
      </c>
      <c r="T71" s="167">
        <v>1</v>
      </c>
      <c r="U71" s="167">
        <v>1</v>
      </c>
      <c r="V71" s="167">
        <v>1</v>
      </c>
      <c r="W71" s="165"/>
      <c r="X71" s="165"/>
      <c r="Y71" s="168"/>
      <c r="Z71" s="169">
        <v>0</v>
      </c>
      <c r="AA71" s="167"/>
      <c r="AB71" s="166"/>
      <c r="AC71" s="170"/>
      <c r="AD71" s="171">
        <v>1</v>
      </c>
      <c r="AE71" s="172">
        <v>1</v>
      </c>
      <c r="AF71" s="173"/>
      <c r="AG71" s="174"/>
      <c r="AH71" s="174"/>
      <c r="AI71" s="174" t="str">
        <f>"                      " &amp; "추천피드" &amp; " " &amp; ""</f>
        <v xml:space="preserve">                      추천피드 </v>
      </c>
      <c r="AJ71" s="174"/>
      <c r="AK71" s="174"/>
      <c r="AL71" s="174"/>
    </row>
    <row r="72" spans="1:38" ht="39.6" outlineLevel="4">
      <c r="A72" s="162"/>
      <c r="B72" s="162"/>
      <c r="C72" s="162">
        <v>5</v>
      </c>
      <c r="D72" s="163" t="s">
        <v>1639</v>
      </c>
      <c r="E72" s="164"/>
      <c r="F72" s="164"/>
      <c r="G72" s="164"/>
      <c r="H72" s="164"/>
      <c r="I72" s="164" t="s">
        <v>1625</v>
      </c>
      <c r="J72" s="164"/>
      <c r="K72" s="164"/>
      <c r="L72" s="164"/>
      <c r="M72" s="164"/>
      <c r="N72" s="164"/>
      <c r="O72" s="284" t="s">
        <v>1644</v>
      </c>
      <c r="P72" s="165">
        <v>44050</v>
      </c>
      <c r="Q72" s="165">
        <v>44052</v>
      </c>
      <c r="R72" s="166"/>
      <c r="S72" s="167">
        <v>1</v>
      </c>
      <c r="T72" s="167">
        <v>1</v>
      </c>
      <c r="U72" s="167">
        <v>1</v>
      </c>
      <c r="V72" s="167">
        <v>1</v>
      </c>
      <c r="W72" s="165"/>
      <c r="X72" s="165"/>
      <c r="Y72" s="168"/>
      <c r="Z72" s="169">
        <v>0</v>
      </c>
      <c r="AA72" s="167"/>
      <c r="AB72" s="166"/>
      <c r="AC72" s="170"/>
      <c r="AD72" s="171">
        <v>1</v>
      </c>
      <c r="AE72" s="172">
        <v>1</v>
      </c>
      <c r="AF72" s="173"/>
      <c r="AG72" s="174"/>
      <c r="AH72" s="174"/>
      <c r="AI72" s="174"/>
      <c r="AJ72" s="174" t="str">
        <f>"    " &amp; "크롭" &amp; " " &amp; ""</f>
        <v xml:space="preserve">    크롭 </v>
      </c>
      <c r="AK72" s="174"/>
      <c r="AL72" s="174"/>
    </row>
    <row r="73" spans="1:38" ht="12" customHeight="1" outlineLevel="4">
      <c r="A73" s="162"/>
      <c r="B73" s="162" t="s">
        <v>1437</v>
      </c>
      <c r="C73" s="162">
        <v>5</v>
      </c>
      <c r="D73" s="163" t="s">
        <v>1645</v>
      </c>
      <c r="E73" s="164"/>
      <c r="F73" s="164"/>
      <c r="G73" s="164"/>
      <c r="H73" s="164"/>
      <c r="I73" s="164" t="s">
        <v>1623</v>
      </c>
      <c r="J73" s="164"/>
      <c r="K73" s="164"/>
      <c r="L73" s="164"/>
      <c r="M73" s="164"/>
      <c r="N73" s="164"/>
      <c r="O73" s="164"/>
      <c r="P73" s="165">
        <v>44052</v>
      </c>
      <c r="Q73" s="165">
        <v>44053</v>
      </c>
      <c r="R73" s="166"/>
      <c r="S73" s="167">
        <v>1</v>
      </c>
      <c r="T73" s="167">
        <v>1</v>
      </c>
      <c r="U73" s="167">
        <v>1</v>
      </c>
      <c r="V73" s="167">
        <v>1</v>
      </c>
      <c r="W73" s="165"/>
      <c r="X73" s="165"/>
      <c r="Y73" s="168">
        <v>0</v>
      </c>
      <c r="Z73" s="169">
        <v>0</v>
      </c>
      <c r="AA73" s="167"/>
      <c r="AB73" s="166"/>
      <c r="AC73" s="170"/>
      <c r="AD73" s="171">
        <v>1</v>
      </c>
      <c r="AE73" s="172">
        <v>1</v>
      </c>
      <c r="AF73" s="173"/>
      <c r="AG73" s="174"/>
      <c r="AH73" s="174"/>
      <c r="AI73" s="174"/>
      <c r="AJ73" s="174" t="str">
        <f>"         " &amp; "특화 페이지" &amp; " " &amp; ""</f>
        <v xml:space="preserve">         특화 페이지 </v>
      </c>
      <c r="AK73" s="174"/>
      <c r="AL73" s="174"/>
    </row>
    <row r="74" spans="1:38" ht="12" customHeight="1" outlineLevel="5">
      <c r="A74" s="162"/>
      <c r="B74" s="162" t="s">
        <v>1437</v>
      </c>
      <c r="C74" s="162">
        <v>6</v>
      </c>
      <c r="D74" s="163" t="s">
        <v>1646</v>
      </c>
      <c r="E74" s="164"/>
      <c r="F74" s="164"/>
      <c r="G74" s="164"/>
      <c r="H74" s="164"/>
      <c r="I74" s="164"/>
      <c r="J74" s="164" t="s">
        <v>1635</v>
      </c>
      <c r="K74" s="164"/>
      <c r="L74" s="164"/>
      <c r="M74" s="164"/>
      <c r="N74" s="164"/>
      <c r="O74" s="164"/>
      <c r="P74" s="165">
        <v>44052</v>
      </c>
      <c r="Q74" s="165">
        <v>44053</v>
      </c>
      <c r="R74" s="166"/>
      <c r="S74" s="167">
        <v>1</v>
      </c>
      <c r="T74" s="167">
        <v>1</v>
      </c>
      <c r="U74" s="167">
        <v>1</v>
      </c>
      <c r="V74" s="167">
        <v>1</v>
      </c>
      <c r="W74" s="165"/>
      <c r="X74" s="165"/>
      <c r="Y74" s="168">
        <v>0</v>
      </c>
      <c r="Z74" s="169">
        <v>0</v>
      </c>
      <c r="AA74" s="167"/>
      <c r="AB74" s="166"/>
      <c r="AC74" s="170"/>
      <c r="AD74" s="171">
        <v>1</v>
      </c>
      <c r="AE74" s="172">
        <v>1</v>
      </c>
      <c r="AF74" s="173"/>
      <c r="AG74" s="174"/>
      <c r="AH74" s="174"/>
      <c r="AI74" s="174"/>
      <c r="AJ74" s="174" t="str">
        <f>"         " &amp; "콘테스트 페이지" &amp; " " &amp; ""</f>
        <v xml:space="preserve">         콘테스트 페이지 </v>
      </c>
      <c r="AK74" s="174"/>
      <c r="AL74" s="174"/>
    </row>
    <row r="75" spans="1:38" ht="12" customHeight="1" outlineLevel="6">
      <c r="A75" s="162"/>
      <c r="B75" s="162"/>
      <c r="C75" s="162">
        <v>7</v>
      </c>
      <c r="D75" s="163" t="s">
        <v>1647</v>
      </c>
      <c r="E75" s="164"/>
      <c r="F75" s="164"/>
      <c r="G75" s="164"/>
      <c r="H75" s="164"/>
      <c r="I75" s="164"/>
      <c r="J75" s="164"/>
      <c r="K75" s="164" t="s">
        <v>1616</v>
      </c>
      <c r="L75" s="164"/>
      <c r="M75" s="164"/>
      <c r="N75" s="164"/>
      <c r="O75" s="164"/>
      <c r="P75" s="165">
        <v>44052</v>
      </c>
      <c r="Q75" s="165">
        <v>44053</v>
      </c>
      <c r="R75" s="166"/>
      <c r="S75" s="167">
        <v>1</v>
      </c>
      <c r="T75" s="167">
        <v>1</v>
      </c>
      <c r="U75" s="167">
        <v>1</v>
      </c>
      <c r="V75" s="167">
        <v>1</v>
      </c>
      <c r="W75" s="165"/>
      <c r="X75" s="165"/>
      <c r="Y75" s="168"/>
      <c r="Z75" s="169">
        <v>0</v>
      </c>
      <c r="AA75" s="167"/>
      <c r="AB75" s="166"/>
      <c r="AC75" s="170"/>
      <c r="AD75" s="171">
        <v>1</v>
      </c>
      <c r="AE75" s="172">
        <v>1</v>
      </c>
      <c r="AF75" s="173"/>
      <c r="AG75" s="174"/>
      <c r="AH75" s="174"/>
      <c r="AI75" s="174"/>
      <c r="AJ75" s="174" t="str">
        <f>"         " &amp; "CRUD" &amp; " " &amp; ""</f>
        <v xml:space="preserve">         CRUD </v>
      </c>
      <c r="AK75" s="174"/>
      <c r="AL75" s="174"/>
    </row>
    <row r="76" spans="1:38" ht="12" customHeight="1" outlineLevel="1">
      <c r="A76" s="162"/>
      <c r="B76" s="162" t="s">
        <v>1437</v>
      </c>
      <c r="C76" s="162">
        <v>2</v>
      </c>
      <c r="D76" s="163" t="s">
        <v>1555</v>
      </c>
      <c r="E76" s="164"/>
      <c r="F76" s="164" t="s">
        <v>1582</v>
      </c>
      <c r="G76" s="164"/>
      <c r="H76" s="164"/>
      <c r="I76" s="164"/>
      <c r="J76" s="164"/>
      <c r="K76" s="164"/>
      <c r="L76" s="164"/>
      <c r="M76" s="164"/>
      <c r="N76" s="164"/>
      <c r="O76" s="164"/>
      <c r="P76" s="165">
        <v>44056</v>
      </c>
      <c r="Q76" s="165">
        <v>44057</v>
      </c>
      <c r="R76" s="166"/>
      <c r="S76" s="167">
        <v>2</v>
      </c>
      <c r="T76" s="167">
        <v>2</v>
      </c>
      <c r="U76" s="167">
        <v>2</v>
      </c>
      <c r="V76" s="167">
        <v>2</v>
      </c>
      <c r="W76" s="165"/>
      <c r="X76" s="165"/>
      <c r="Y76" s="168">
        <v>0</v>
      </c>
      <c r="Z76" s="169">
        <v>0</v>
      </c>
      <c r="AA76" s="167"/>
      <c r="AB76" s="166"/>
      <c r="AC76" s="170"/>
      <c r="AD76" s="171">
        <v>1</v>
      </c>
      <c r="AE76" s="172">
        <v>1</v>
      </c>
      <c r="AF76" s="173"/>
      <c r="AG76" s="174"/>
      <c r="AH76" s="174"/>
      <c r="AI76" s="174"/>
      <c r="AJ76" s="174" t="str">
        <f>"                           " &amp; "배포" &amp; " " &amp; ""</f>
        <v xml:space="preserve">                           배포 </v>
      </c>
      <c r="AK76" s="174"/>
      <c r="AL76" s="174"/>
    </row>
    <row r="77" spans="1:38" ht="12" customHeight="1" outlineLevel="2">
      <c r="A77" s="162"/>
      <c r="B77" s="162" t="s">
        <v>1437</v>
      </c>
      <c r="C77" s="162">
        <v>3</v>
      </c>
      <c r="D77" s="163" t="s">
        <v>1537</v>
      </c>
      <c r="E77" s="164"/>
      <c r="F77" s="164"/>
      <c r="G77" s="164" t="s">
        <v>1581</v>
      </c>
      <c r="H77" s="164"/>
      <c r="I77" s="164"/>
      <c r="J77" s="164"/>
      <c r="K77" s="164"/>
      <c r="L77" s="164"/>
      <c r="M77" s="164"/>
      <c r="N77" s="164"/>
      <c r="O77" s="164"/>
      <c r="P77" s="165">
        <v>44056</v>
      </c>
      <c r="Q77" s="165">
        <v>44057</v>
      </c>
      <c r="R77" s="166"/>
      <c r="S77" s="167">
        <v>2</v>
      </c>
      <c r="T77" s="167">
        <v>2</v>
      </c>
      <c r="U77" s="167">
        <v>2</v>
      </c>
      <c r="V77" s="167">
        <v>2</v>
      </c>
      <c r="W77" s="165"/>
      <c r="X77" s="165"/>
      <c r="Y77" s="168">
        <v>0</v>
      </c>
      <c r="Z77" s="169">
        <v>0</v>
      </c>
      <c r="AA77" s="167"/>
      <c r="AB77" s="166"/>
      <c r="AC77" s="170"/>
      <c r="AD77" s="171">
        <v>1</v>
      </c>
      <c r="AE77" s="172">
        <v>1</v>
      </c>
      <c r="AF77" s="173"/>
      <c r="AG77" s="174"/>
      <c r="AH77" s="174"/>
      <c r="AI77" s="174"/>
      <c r="AJ77" s="174" t="str">
        <f>"                           " &amp; "최종배포" &amp; " " &amp; ""</f>
        <v xml:space="preserve">                           최종배포 </v>
      </c>
      <c r="AK77" s="174"/>
      <c r="AL77" s="174"/>
    </row>
    <row r="78" spans="1:38" ht="12" customHeight="1" outlineLevel="3">
      <c r="A78" s="162"/>
      <c r="B78" s="162"/>
      <c r="C78" s="162">
        <v>4</v>
      </c>
      <c r="D78" s="163" t="s">
        <v>1538</v>
      </c>
      <c r="E78" s="164"/>
      <c r="F78" s="164"/>
      <c r="G78" s="164"/>
      <c r="H78" s="164" t="s">
        <v>1662</v>
      </c>
      <c r="I78" s="164"/>
      <c r="J78" s="164"/>
      <c r="K78" s="164"/>
      <c r="L78" s="164"/>
      <c r="M78" s="164"/>
      <c r="N78" s="164"/>
      <c r="O78" s="164"/>
      <c r="P78" s="165">
        <v>44056</v>
      </c>
      <c r="Q78" s="165">
        <v>44057</v>
      </c>
      <c r="R78" s="166"/>
      <c r="S78" s="167">
        <v>2</v>
      </c>
      <c r="T78" s="167">
        <v>2</v>
      </c>
      <c r="U78" s="167">
        <v>2</v>
      </c>
      <c r="V78" s="167">
        <v>2</v>
      </c>
      <c r="W78" s="165"/>
      <c r="X78" s="165"/>
      <c r="Y78" s="168"/>
      <c r="Z78" s="169">
        <v>0</v>
      </c>
      <c r="AA78" s="167"/>
      <c r="AB78" s="166"/>
      <c r="AC78" s="170"/>
      <c r="AD78" s="171">
        <v>1</v>
      </c>
      <c r="AE78" s="172">
        <v>1</v>
      </c>
      <c r="AF78" s="173"/>
      <c r="AG78" s="174"/>
      <c r="AH78" s="174"/>
      <c r="AI78" s="174"/>
      <c r="AJ78" s="174" t="str">
        <f>"                           " &amp; "AWS + Nginx" &amp; " " &amp; ""</f>
        <v xml:space="preserve">                           AWS + Nginx </v>
      </c>
      <c r="AK78" s="174"/>
      <c r="AL78" s="174"/>
    </row>
    <row r="79" spans="1:38" ht="12" customHeight="1">
      <c r="A79" s="177"/>
      <c r="B79" s="177"/>
      <c r="C79" s="177"/>
      <c r="D79" s="178"/>
      <c r="E79" s="179"/>
      <c r="F79" s="179"/>
      <c r="G79" s="179"/>
      <c r="H79" s="179"/>
      <c r="I79" s="179"/>
      <c r="J79" s="179"/>
      <c r="K79" s="179"/>
      <c r="L79" s="179"/>
      <c r="M79" s="179"/>
      <c r="N79" s="179"/>
      <c r="O79" s="179"/>
      <c r="P79" s="180"/>
      <c r="Q79" s="180"/>
      <c r="R79" s="181"/>
      <c r="S79" s="182"/>
      <c r="T79" s="182"/>
      <c r="U79" s="182"/>
      <c r="V79" s="182"/>
      <c r="W79" s="180"/>
      <c r="X79" s="180"/>
      <c r="Y79" s="183"/>
      <c r="Z79" s="184"/>
      <c r="AA79" s="182"/>
      <c r="AB79" s="181"/>
      <c r="AC79" s="185"/>
      <c r="AD79" s="186"/>
      <c r="AE79" s="187"/>
      <c r="AF79" s="175"/>
      <c r="AG79" s="175"/>
      <c r="AH79" s="175"/>
      <c r="AI79" s="175"/>
      <c r="AJ79" s="175"/>
      <c r="AK79" s="175"/>
      <c r="AL79" s="175"/>
    </row>
    <row r="80" spans="1:38" ht="12" customHeight="1">
      <c r="P80" s="165"/>
    </row>
    <row r="81" spans="16:16" ht="12" customHeight="1">
      <c r="P81" s="165"/>
    </row>
    <row r="82" spans="16:16" ht="12" customHeight="1">
      <c r="P82" s="165"/>
    </row>
    <row r="83" spans="16:16" ht="12" customHeight="1">
      <c r="P83" s="165"/>
    </row>
    <row r="84" spans="16:16" ht="12" customHeight="1">
      <c r="P84" s="165"/>
    </row>
    <row r="85" spans="16:16" ht="12" customHeight="1">
      <c r="P85" s="165"/>
    </row>
    <row r="86" spans="16:16" ht="12" customHeight="1">
      <c r="P86" s="165"/>
    </row>
    <row r="87" spans="16:16" ht="12" customHeight="1">
      <c r="P87" s="165"/>
    </row>
    <row r="88" spans="16:16" ht="12" customHeight="1">
      <c r="P88" s="165"/>
    </row>
    <row r="89" spans="16:16" ht="12" customHeight="1">
      <c r="P89" s="165"/>
    </row>
    <row r="90" spans="16:16" ht="12" customHeight="1">
      <c r="P90" s="165"/>
    </row>
    <row r="91" spans="16:16" ht="12" customHeight="1">
      <c r="P91" s="165"/>
    </row>
    <row r="92" spans="16:16" ht="12" customHeight="1">
      <c r="P92" s="165"/>
    </row>
    <row r="93" spans="16:16" ht="12" customHeight="1">
      <c r="P93" s="165"/>
    </row>
  </sheetData>
  <sheetProtection formatCells="0" formatColumns="0" formatRows="0" insertColumns="0" insertRows="0" insertHyperlinks="0" deleteColumns="0" deleteRows="0" sort="0" autoFilter="0" pivotTables="0"/>
  <dataConsolidate/>
  <mergeCells count="23">
    <mergeCell ref="D2:F2"/>
    <mergeCell ref="O3:O4"/>
    <mergeCell ref="V3:V4"/>
    <mergeCell ref="X3:X4"/>
    <mergeCell ref="Z3:Z4"/>
    <mergeCell ref="P3:P4"/>
    <mergeCell ref="Q3:Q4"/>
    <mergeCell ref="AE3:AE4"/>
    <mergeCell ref="S3:S4"/>
    <mergeCell ref="R3:R4"/>
    <mergeCell ref="T3:T4"/>
    <mergeCell ref="W3:W4"/>
    <mergeCell ref="U3:U4"/>
    <mergeCell ref="AD3:AD4"/>
    <mergeCell ref="AC3:AC4"/>
    <mergeCell ref="Y3:Y4"/>
    <mergeCell ref="AA3:AA4"/>
    <mergeCell ref="AB3:AB4"/>
    <mergeCell ref="A3:A4"/>
    <mergeCell ref="B3:B4"/>
    <mergeCell ref="C3:C4"/>
    <mergeCell ref="D3:D4"/>
    <mergeCell ref="E3:N4"/>
  </mergeCells>
  <phoneticPr fontId="4" type="noConversion"/>
  <conditionalFormatting sqref="D5:AE78">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75"/>
      <c r="M1" s="276"/>
      <c r="N1" s="276"/>
      <c r="O1" s="3"/>
      <c r="P1" s="3"/>
      <c r="Q1" s="3"/>
    </row>
    <row r="2" spans="1:17" s="7" customFormat="1" ht="13.8">
      <c r="A2" s="5" t="s">
        <v>1370</v>
      </c>
      <c r="B2" s="6"/>
    </row>
    <row r="3" spans="1:17" s="7" customFormat="1" ht="13.8">
      <c r="A3" s="5" t="s">
        <v>1371</v>
      </c>
      <c r="B3" s="6"/>
    </row>
    <row r="4" spans="1:17" s="7" customFormat="1" ht="13.8">
      <c r="A4" s="277"/>
      <c r="B4" s="277"/>
      <c r="C4" s="8"/>
      <c r="D4" s="9"/>
      <c r="E4" s="9"/>
      <c r="F4" s="9"/>
    </row>
    <row r="5" spans="1:17" s="15" customFormat="1" ht="13.8">
      <c r="A5" s="10"/>
      <c r="B5" s="11"/>
      <c r="C5" s="12"/>
      <c r="D5" s="13"/>
      <c r="E5" s="14"/>
      <c r="F5" s="14"/>
      <c r="G5" s="14"/>
    </row>
    <row r="6" spans="1:17" s="15" customFormat="1" ht="13.8">
      <c r="A6" s="16" t="s">
        <v>1372</v>
      </c>
      <c r="B6" s="17">
        <v>110</v>
      </c>
      <c r="C6" s="15" t="s">
        <v>0</v>
      </c>
      <c r="D6" s="274" t="s">
        <v>1373</v>
      </c>
      <c r="E6" s="274"/>
      <c r="F6" s="274"/>
      <c r="G6" s="274"/>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109</v>
      </c>
      <c r="C9" s="15" t="s">
        <v>0</v>
      </c>
      <c r="D9" s="273" t="s">
        <v>1375</v>
      </c>
      <c r="E9" s="273"/>
      <c r="F9" s="273"/>
      <c r="G9" s="273"/>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110</v>
      </c>
      <c r="C12" s="15" t="s">
        <v>0</v>
      </c>
      <c r="D12" s="278" t="s">
        <v>1369</v>
      </c>
      <c r="E12" s="273"/>
      <c r="F12" s="273"/>
      <c r="G12" s="273"/>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73" t="s">
        <v>1377</v>
      </c>
      <c r="E15" s="273"/>
      <c r="F15" s="273"/>
      <c r="G15" s="273"/>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0.99090909090909096</v>
      </c>
      <c r="D18" s="273" t="s">
        <v>1379</v>
      </c>
      <c r="E18" s="273"/>
      <c r="F18" s="273"/>
      <c r="G18" s="273"/>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1</v>
      </c>
      <c r="D21" s="273" t="s">
        <v>1381</v>
      </c>
      <c r="E21" s="273"/>
      <c r="F21" s="273"/>
      <c r="G21" s="273"/>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9.0909090909090384E-3</v>
      </c>
      <c r="D24" s="274" t="s">
        <v>1383</v>
      </c>
      <c r="E24" s="274"/>
      <c r="F24" s="274"/>
      <c r="G24" s="274"/>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5">
        <v>44031</v>
      </c>
      <c r="C8" s="225">
        <v>44037</v>
      </c>
      <c r="D8" s="226">
        <v>12.7</v>
      </c>
      <c r="E8" s="226">
        <f t="shared" ref="E8:E28" si="3">E7+D8</f>
        <v>16.7</v>
      </c>
      <c r="F8" s="228">
        <f t="shared" si="0"/>
        <v>6.3984674329501917E-2</v>
      </c>
      <c r="G8" s="227">
        <v>11</v>
      </c>
      <c r="H8" s="227">
        <f>H7+G8</f>
        <v>15</v>
      </c>
      <c r="I8" s="228">
        <f t="shared" si="1"/>
        <v>5.7471264367816091E-2</v>
      </c>
      <c r="J8" s="227"/>
      <c r="K8" s="227">
        <f>K7+J8</f>
        <v>0</v>
      </c>
      <c r="L8" s="228">
        <f t="shared" si="2"/>
        <v>0</v>
      </c>
    </row>
    <row r="9" spans="2:12">
      <c r="B9" s="225">
        <v>44038</v>
      </c>
      <c r="C9" s="225">
        <v>44044</v>
      </c>
      <c r="D9" s="226">
        <v>18.5</v>
      </c>
      <c r="E9" s="226">
        <f t="shared" si="3"/>
        <v>35.200000000000003</v>
      </c>
      <c r="F9" s="228">
        <f t="shared" si="0"/>
        <v>0.13486590038314178</v>
      </c>
      <c r="G9" s="227">
        <v>16.12</v>
      </c>
      <c r="H9" s="227">
        <f>H8+G9</f>
        <v>31.12</v>
      </c>
      <c r="I9" s="228">
        <f t="shared" si="1"/>
        <v>0.11923371647509579</v>
      </c>
      <c r="J9" s="227"/>
      <c r="K9" s="227">
        <f>K8+J9</f>
        <v>0</v>
      </c>
      <c r="L9" s="228">
        <f t="shared" si="2"/>
        <v>0</v>
      </c>
    </row>
    <row r="10" spans="2:12">
      <c r="B10" s="225">
        <v>44045</v>
      </c>
      <c r="C10" s="225">
        <v>44051</v>
      </c>
      <c r="D10" s="226">
        <v>10.4</v>
      </c>
      <c r="E10" s="226">
        <f t="shared" si="3"/>
        <v>45.6</v>
      </c>
      <c r="F10" s="228">
        <f t="shared" si="0"/>
        <v>0.17471264367816092</v>
      </c>
      <c r="G10" s="227">
        <v>6</v>
      </c>
      <c r="H10" s="227">
        <f>H9+G10</f>
        <v>37.120000000000005</v>
      </c>
      <c r="I10" s="228">
        <f t="shared" si="1"/>
        <v>0.14222222222222225</v>
      </c>
      <c r="J10" s="227"/>
      <c r="K10" s="227">
        <f>K9+J10</f>
        <v>0</v>
      </c>
      <c r="L10" s="228">
        <f t="shared" si="2"/>
        <v>0</v>
      </c>
    </row>
    <row r="11" spans="2:12">
      <c r="B11" s="225">
        <v>44052</v>
      </c>
      <c r="C11" s="225">
        <v>44058</v>
      </c>
      <c r="D11" s="226">
        <v>6.6</v>
      </c>
      <c r="E11" s="226">
        <f t="shared" si="3"/>
        <v>52.2</v>
      </c>
      <c r="F11" s="228">
        <f t="shared" si="0"/>
        <v>0.2</v>
      </c>
      <c r="G11" s="227"/>
      <c r="H11" s="227"/>
      <c r="I11" s="227"/>
      <c r="J11" s="227"/>
      <c r="K11" s="227"/>
      <c r="L11" s="227"/>
    </row>
    <row r="12" spans="2:12">
      <c r="B12" s="225">
        <v>44059</v>
      </c>
      <c r="C12" s="225">
        <v>44065</v>
      </c>
      <c r="D12" s="226">
        <v>10</v>
      </c>
      <c r="E12" s="226">
        <f t="shared" si="3"/>
        <v>62.2</v>
      </c>
      <c r="F12" s="228">
        <f t="shared" si="0"/>
        <v>0.23831417624521073</v>
      </c>
      <c r="G12" s="227"/>
      <c r="H12" s="227"/>
      <c r="I12" s="227"/>
      <c r="J12" s="227"/>
      <c r="K12" s="227"/>
      <c r="L12" s="227"/>
    </row>
    <row r="13" spans="2:12">
      <c r="B13" s="225">
        <v>44066</v>
      </c>
      <c r="C13" s="225">
        <v>44072</v>
      </c>
      <c r="D13" s="226">
        <v>14</v>
      </c>
      <c r="E13" s="226">
        <f t="shared" si="3"/>
        <v>76.2</v>
      </c>
      <c r="F13" s="228">
        <f t="shared" si="0"/>
        <v>0.29195402298850576</v>
      </c>
      <c r="G13" s="227"/>
      <c r="H13" s="227"/>
      <c r="I13" s="227"/>
      <c r="J13" s="227"/>
      <c r="K13" s="227"/>
      <c r="L13" s="227"/>
    </row>
    <row r="14" spans="2:12">
      <c r="B14" s="225">
        <v>44073</v>
      </c>
      <c r="C14" s="225">
        <v>44079</v>
      </c>
      <c r="D14" s="226">
        <v>7</v>
      </c>
      <c r="E14" s="226">
        <f t="shared" si="3"/>
        <v>83.2</v>
      </c>
      <c r="F14" s="228">
        <f t="shared" si="0"/>
        <v>0.31877394636015327</v>
      </c>
      <c r="G14" s="227"/>
      <c r="H14" s="227"/>
      <c r="I14" s="227"/>
      <c r="J14" s="227"/>
      <c r="K14" s="227"/>
      <c r="L14" s="227"/>
    </row>
    <row r="15" spans="2:12">
      <c r="B15" s="225">
        <v>44080</v>
      </c>
      <c r="C15" s="225">
        <v>44086</v>
      </c>
      <c r="D15" s="226">
        <v>7.2</v>
      </c>
      <c r="E15" s="226">
        <f t="shared" si="3"/>
        <v>90.4</v>
      </c>
      <c r="F15" s="228">
        <f t="shared" si="0"/>
        <v>0.34636015325670499</v>
      </c>
      <c r="G15" s="227"/>
      <c r="H15" s="227"/>
      <c r="I15" s="227"/>
      <c r="J15" s="227"/>
      <c r="K15" s="227"/>
      <c r="L15" s="227"/>
    </row>
    <row r="16" spans="2:12">
      <c r="B16" s="225">
        <v>44087</v>
      </c>
      <c r="C16" s="225">
        <v>44093</v>
      </c>
      <c r="D16" s="226">
        <v>18</v>
      </c>
      <c r="E16" s="226">
        <f t="shared" si="3"/>
        <v>108.4</v>
      </c>
      <c r="F16" s="228">
        <f t="shared" si="0"/>
        <v>0.41532567049808433</v>
      </c>
      <c r="G16" s="227"/>
      <c r="H16" s="227"/>
      <c r="I16" s="227"/>
      <c r="J16" s="227"/>
      <c r="K16" s="227"/>
      <c r="L16" s="227"/>
    </row>
    <row r="17" spans="2:12">
      <c r="B17" s="225">
        <v>44094</v>
      </c>
      <c r="C17" s="225">
        <v>44100</v>
      </c>
      <c r="D17" s="226">
        <v>18</v>
      </c>
      <c r="E17" s="226">
        <f t="shared" si="3"/>
        <v>126.4</v>
      </c>
      <c r="F17" s="228">
        <f t="shared" si="0"/>
        <v>0.48429118773946361</v>
      </c>
      <c r="G17" s="227"/>
      <c r="H17" s="227"/>
      <c r="I17" s="227"/>
      <c r="J17" s="227"/>
      <c r="K17" s="227"/>
      <c r="L17" s="227"/>
    </row>
    <row r="18" spans="2:12">
      <c r="B18" s="225">
        <v>44101</v>
      </c>
      <c r="C18" s="225">
        <v>44107</v>
      </c>
      <c r="D18" s="226">
        <v>8</v>
      </c>
      <c r="E18" s="226">
        <f t="shared" si="3"/>
        <v>134.4</v>
      </c>
      <c r="F18" s="228">
        <f t="shared" si="0"/>
        <v>0.51494252873563218</v>
      </c>
      <c r="G18" s="227"/>
      <c r="H18" s="227"/>
      <c r="I18" s="227"/>
      <c r="J18" s="227"/>
      <c r="K18" s="227"/>
      <c r="L18" s="227"/>
    </row>
    <row r="19" spans="2:12">
      <c r="B19" s="225">
        <v>44108</v>
      </c>
      <c r="C19" s="225">
        <v>44114</v>
      </c>
      <c r="D19" s="226">
        <v>12</v>
      </c>
      <c r="E19" s="226">
        <f t="shared" si="3"/>
        <v>146.4</v>
      </c>
      <c r="F19" s="228">
        <f t="shared" si="0"/>
        <v>0.56091954022988511</v>
      </c>
      <c r="G19" s="227"/>
      <c r="H19" s="227"/>
      <c r="I19" s="227"/>
      <c r="J19" s="227"/>
      <c r="K19" s="227"/>
      <c r="L19" s="227"/>
    </row>
    <row r="20" spans="2:12">
      <c r="B20" s="225">
        <v>44115</v>
      </c>
      <c r="C20" s="225">
        <v>44121</v>
      </c>
      <c r="D20" s="226">
        <v>15.4</v>
      </c>
      <c r="E20" s="226">
        <f t="shared" si="3"/>
        <v>161.80000000000001</v>
      </c>
      <c r="F20" s="228">
        <f t="shared" si="0"/>
        <v>0.61992337164750966</v>
      </c>
      <c r="G20" s="227"/>
      <c r="H20" s="227"/>
      <c r="I20" s="227"/>
      <c r="J20" s="227"/>
      <c r="K20" s="227"/>
      <c r="L20" s="227"/>
    </row>
    <row r="21" spans="2:12">
      <c r="B21" s="225">
        <v>44122</v>
      </c>
      <c r="C21" s="225">
        <v>44128</v>
      </c>
      <c r="D21" s="226">
        <v>17</v>
      </c>
      <c r="E21" s="226">
        <f t="shared" si="3"/>
        <v>178.8</v>
      </c>
      <c r="F21" s="228">
        <f t="shared" si="0"/>
        <v>0.68505747126436789</v>
      </c>
      <c r="G21" s="227"/>
      <c r="H21" s="227"/>
      <c r="I21" s="227"/>
      <c r="J21" s="227"/>
      <c r="K21" s="227"/>
      <c r="L21" s="227"/>
    </row>
    <row r="22" spans="2:12">
      <c r="B22" s="225">
        <v>44129</v>
      </c>
      <c r="C22" s="225">
        <v>44135</v>
      </c>
      <c r="D22" s="226">
        <v>21</v>
      </c>
      <c r="E22" s="226">
        <f t="shared" si="3"/>
        <v>199.8</v>
      </c>
      <c r="F22" s="228">
        <f t="shared" si="0"/>
        <v>0.76551724137931043</v>
      </c>
      <c r="G22" s="227"/>
      <c r="H22" s="227"/>
      <c r="I22" s="227"/>
      <c r="J22" s="227"/>
      <c r="K22" s="227"/>
      <c r="L22" s="227"/>
    </row>
    <row r="23" spans="2:12">
      <c r="B23" s="225">
        <v>44136</v>
      </c>
      <c r="C23" s="225">
        <v>44142</v>
      </c>
      <c r="D23" s="226">
        <v>21</v>
      </c>
      <c r="E23" s="226">
        <f t="shared" si="3"/>
        <v>220.8</v>
      </c>
      <c r="F23" s="228">
        <f t="shared" si="0"/>
        <v>0.84597701149425286</v>
      </c>
      <c r="G23" s="227"/>
      <c r="H23" s="227"/>
      <c r="I23" s="227"/>
      <c r="J23" s="227"/>
      <c r="K23" s="227"/>
      <c r="L23" s="227"/>
    </row>
    <row r="24" spans="2:12">
      <c r="B24" s="225">
        <v>44143</v>
      </c>
      <c r="C24" s="225">
        <v>44149</v>
      </c>
      <c r="D24" s="226">
        <v>7.2</v>
      </c>
      <c r="E24" s="226">
        <f t="shared" si="3"/>
        <v>228</v>
      </c>
      <c r="F24" s="228">
        <f t="shared" si="0"/>
        <v>0.87356321839080464</v>
      </c>
      <c r="G24" s="227"/>
      <c r="H24" s="227"/>
      <c r="I24" s="227"/>
      <c r="J24" s="227"/>
      <c r="K24" s="227"/>
      <c r="L24" s="227"/>
    </row>
    <row r="25" spans="2:12">
      <c r="B25" s="225">
        <v>44150</v>
      </c>
      <c r="C25" s="225">
        <v>44156</v>
      </c>
      <c r="D25" s="226">
        <v>19</v>
      </c>
      <c r="E25" s="226">
        <f t="shared" si="3"/>
        <v>247</v>
      </c>
      <c r="F25" s="228">
        <f t="shared" si="0"/>
        <v>0.94636015325670497</v>
      </c>
      <c r="G25" s="227"/>
      <c r="H25" s="227"/>
      <c r="I25" s="227"/>
      <c r="J25" s="227"/>
      <c r="K25" s="227"/>
      <c r="L25" s="227"/>
    </row>
    <row r="26" spans="2:12">
      <c r="B26" s="225">
        <v>44157</v>
      </c>
      <c r="C26" s="225">
        <v>44163</v>
      </c>
      <c r="D26" s="226">
        <v>4</v>
      </c>
      <c r="E26" s="226">
        <f t="shared" si="3"/>
        <v>251</v>
      </c>
      <c r="F26" s="228">
        <f t="shared" si="0"/>
        <v>0.96168582375478928</v>
      </c>
      <c r="G26" s="227"/>
      <c r="H26" s="227"/>
      <c r="I26" s="227"/>
      <c r="J26" s="227"/>
      <c r="K26" s="227"/>
      <c r="L26" s="227"/>
    </row>
    <row r="27" spans="2:12">
      <c r="B27" s="225">
        <v>44164</v>
      </c>
      <c r="C27" s="225">
        <v>44170</v>
      </c>
      <c r="D27" s="226">
        <v>5</v>
      </c>
      <c r="E27" s="226">
        <f t="shared" si="3"/>
        <v>256</v>
      </c>
      <c r="F27" s="228">
        <f t="shared" si="0"/>
        <v>0.98084291187739459</v>
      </c>
      <c r="G27" s="227"/>
      <c r="H27" s="227"/>
      <c r="I27" s="227"/>
      <c r="J27" s="227"/>
      <c r="K27" s="227"/>
      <c r="L27" s="227"/>
    </row>
    <row r="28" spans="2:12">
      <c r="B28" s="225">
        <v>44171</v>
      </c>
      <c r="C28" s="225">
        <v>44177</v>
      </c>
      <c r="D28" s="226">
        <v>5</v>
      </c>
      <c r="E28" s="226">
        <f t="shared" si="3"/>
        <v>261</v>
      </c>
      <c r="F28" s="228">
        <f t="shared" si="0"/>
        <v>1</v>
      </c>
      <c r="G28" s="227"/>
      <c r="H28" s="227"/>
      <c r="I28" s="227"/>
      <c r="J28" s="227"/>
      <c r="K28" s="227"/>
      <c r="L28" s="227"/>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79" t="s">
        <v>1385</v>
      </c>
      <c r="B2" s="279"/>
      <c r="C2" s="279"/>
      <c r="D2" s="279"/>
      <c r="E2" s="279"/>
      <c r="F2" s="279"/>
      <c r="G2" s="279"/>
      <c r="H2" s="279"/>
    </row>
    <row r="3" spans="1:9" s="65" customFormat="1" ht="24.75" customHeight="1">
      <c r="A3" s="280" t="s">
        <v>1386</v>
      </c>
      <c r="B3" s="280"/>
      <c r="D3" s="280" t="s">
        <v>1387</v>
      </c>
      <c r="E3" s="280"/>
      <c r="G3" s="280" t="s">
        <v>1388</v>
      </c>
      <c r="H3" s="280"/>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1476</v>
      </c>
      <c r="N2" s="143" t="s">
        <v>1480</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1476</v>
      </c>
      <c r="N3" s="143" t="s">
        <v>1556</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1478</v>
      </c>
      <c r="C4" s="143" t="s">
        <v>1037</v>
      </c>
      <c r="D4" s="143" t="s">
        <v>1111</v>
      </c>
      <c r="E4" s="143" t="s">
        <v>1113</v>
      </c>
      <c r="F4" s="143" t="s">
        <v>1478</v>
      </c>
      <c r="M4" s="143" t="s">
        <v>1479</v>
      </c>
      <c r="N4" s="143" t="s">
        <v>1480</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1478</v>
      </c>
      <c r="C5" s="143" t="s">
        <v>1037</v>
      </c>
      <c r="D5" s="143" t="s">
        <v>1111</v>
      </c>
      <c r="E5" s="143" t="s">
        <v>1113</v>
      </c>
      <c r="F5" s="143" t="s">
        <v>1478</v>
      </c>
      <c r="M5" s="143" t="s">
        <v>1479</v>
      </c>
      <c r="N5" s="143" t="s">
        <v>1480</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1481</v>
      </c>
      <c r="C6" s="143" t="s">
        <v>1037</v>
      </c>
      <c r="D6" s="143" t="s">
        <v>1111</v>
      </c>
      <c r="E6" s="143" t="s">
        <v>1113</v>
      </c>
      <c r="F6" s="143" t="s">
        <v>1481</v>
      </c>
      <c r="M6" s="143" t="s">
        <v>1482</v>
      </c>
      <c r="N6" s="143" t="s">
        <v>1480</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1484</v>
      </c>
      <c r="N7" s="143" t="s">
        <v>1557</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1484</v>
      </c>
      <c r="N8" s="143" t="s">
        <v>1557</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1485</v>
      </c>
      <c r="N9" s="143" t="s">
        <v>1557</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1486</v>
      </c>
      <c r="N10" s="143" t="s">
        <v>1557</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1486</v>
      </c>
      <c r="N11" s="143" t="s">
        <v>1557</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1486</v>
      </c>
      <c r="N12" s="143" t="s">
        <v>1557</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1486</v>
      </c>
      <c r="N13" s="143" t="s">
        <v>1557</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1486</v>
      </c>
      <c r="N14" s="143" t="s">
        <v>1557</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1487</v>
      </c>
      <c r="C15" s="143" t="s">
        <v>1037</v>
      </c>
      <c r="D15" s="143" t="s">
        <v>1114</v>
      </c>
      <c r="E15" s="143" t="s">
        <v>1487</v>
      </c>
      <c r="M15" s="143" t="s">
        <v>1488</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1490</v>
      </c>
      <c r="N16" s="143" t="s">
        <v>1556</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1490</v>
      </c>
      <c r="N17" s="143" t="s">
        <v>1480</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1491</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1491</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1491</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1492</v>
      </c>
      <c r="C21" s="143" t="s">
        <v>1037</v>
      </c>
      <c r="D21" s="143" t="s">
        <v>1116</v>
      </c>
      <c r="E21" s="143" t="s">
        <v>1492</v>
      </c>
      <c r="M21" s="143" t="s">
        <v>1493</v>
      </c>
      <c r="N21" s="143" t="s">
        <v>1558</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1492</v>
      </c>
      <c r="C22" s="143" t="s">
        <v>1037</v>
      </c>
      <c r="D22" s="143" t="s">
        <v>1116</v>
      </c>
      <c r="E22" s="143" t="s">
        <v>1492</v>
      </c>
      <c r="M22" s="143" t="s">
        <v>1493</v>
      </c>
      <c r="N22" s="143" t="s">
        <v>1559</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1494</v>
      </c>
      <c r="C23" s="143" t="s">
        <v>1037</v>
      </c>
      <c r="D23" s="143" t="s">
        <v>1116</v>
      </c>
      <c r="E23" s="143" t="s">
        <v>1494</v>
      </c>
      <c r="M23" s="143" t="s">
        <v>1495</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1496</v>
      </c>
      <c r="C24" s="143" t="s">
        <v>1101</v>
      </c>
      <c r="D24" s="143" t="s">
        <v>1552</v>
      </c>
      <c r="E24" s="143" t="s">
        <v>1496</v>
      </c>
      <c r="M24" s="143" t="s">
        <v>1497</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1496</v>
      </c>
      <c r="C25" s="143" t="s">
        <v>1101</v>
      </c>
      <c r="D25" s="143" t="s">
        <v>1552</v>
      </c>
      <c r="E25" s="143" t="s">
        <v>1496</v>
      </c>
      <c r="M25" s="143" t="s">
        <v>1497</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1496</v>
      </c>
      <c r="C26" s="143" t="s">
        <v>1101</v>
      </c>
      <c r="D26" s="143" t="s">
        <v>1552</v>
      </c>
      <c r="E26" s="143" t="s">
        <v>1496</v>
      </c>
      <c r="M26" s="143" t="s">
        <v>1497</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1496</v>
      </c>
      <c r="C27" s="143" t="s">
        <v>1101</v>
      </c>
      <c r="D27" s="143" t="s">
        <v>1552</v>
      </c>
      <c r="E27" s="143" t="s">
        <v>1496</v>
      </c>
      <c r="M27" s="143" t="s">
        <v>1497</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1500</v>
      </c>
      <c r="C28" s="143" t="s">
        <v>1101</v>
      </c>
      <c r="D28" s="143" t="s">
        <v>1552</v>
      </c>
      <c r="E28" s="143" t="s">
        <v>1498</v>
      </c>
      <c r="F28" s="143" t="s">
        <v>1500</v>
      </c>
      <c r="M28" s="143" t="s">
        <v>1501</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1500</v>
      </c>
      <c r="C29" s="143" t="s">
        <v>1101</v>
      </c>
      <c r="D29" s="143" t="s">
        <v>1552</v>
      </c>
      <c r="E29" s="143" t="s">
        <v>1498</v>
      </c>
      <c r="F29" s="143" t="s">
        <v>1500</v>
      </c>
      <c r="M29" s="143" t="s">
        <v>1501</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1500</v>
      </c>
      <c r="C30" s="143" t="s">
        <v>1101</v>
      </c>
      <c r="D30" s="143" t="s">
        <v>1552</v>
      </c>
      <c r="E30" s="143" t="s">
        <v>1498</v>
      </c>
      <c r="F30" s="143" t="s">
        <v>1500</v>
      </c>
      <c r="M30" s="143" t="s">
        <v>1501</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1502</v>
      </c>
      <c r="C31" s="143" t="s">
        <v>1101</v>
      </c>
      <c r="D31" s="143" t="s">
        <v>1552</v>
      </c>
      <c r="E31" s="143" t="s">
        <v>1498</v>
      </c>
      <c r="F31" s="143" t="s">
        <v>1502</v>
      </c>
      <c r="M31" s="143" t="s">
        <v>1503</v>
      </c>
      <c r="N31" s="143" t="s">
        <v>1560</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1502</v>
      </c>
      <c r="C32" s="143" t="s">
        <v>1101</v>
      </c>
      <c r="D32" s="143" t="s">
        <v>1552</v>
      </c>
      <c r="E32" s="143" t="s">
        <v>1498</v>
      </c>
      <c r="F32" s="143" t="s">
        <v>1502</v>
      </c>
      <c r="M32" s="143" t="s">
        <v>1503</v>
      </c>
      <c r="N32" s="143" t="s">
        <v>1480</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1502</v>
      </c>
      <c r="C33" s="143" t="s">
        <v>1101</v>
      </c>
      <c r="D33" s="143" t="s">
        <v>1552</v>
      </c>
      <c r="E33" s="143" t="s">
        <v>1498</v>
      </c>
      <c r="F33" s="143" t="s">
        <v>1502</v>
      </c>
      <c r="M33" s="143" t="s">
        <v>1503</v>
      </c>
      <c r="N33" s="143" t="s">
        <v>1560</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1502</v>
      </c>
      <c r="C34" s="143" t="s">
        <v>1101</v>
      </c>
      <c r="D34" s="143" t="s">
        <v>1552</v>
      </c>
      <c r="E34" s="143" t="s">
        <v>1498</v>
      </c>
      <c r="F34" s="143" t="s">
        <v>1502</v>
      </c>
      <c r="M34" s="143" t="s">
        <v>1503</v>
      </c>
      <c r="N34" s="143" t="s">
        <v>1480</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1502</v>
      </c>
      <c r="C35" s="143" t="s">
        <v>1101</v>
      </c>
      <c r="D35" s="143" t="s">
        <v>1552</v>
      </c>
      <c r="E35" s="143" t="s">
        <v>1498</v>
      </c>
      <c r="F35" s="143" t="s">
        <v>1502</v>
      </c>
      <c r="M35" s="143" t="s">
        <v>1503</v>
      </c>
      <c r="N35" s="143" t="s">
        <v>1560</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1502</v>
      </c>
      <c r="C36" s="143" t="s">
        <v>1101</v>
      </c>
      <c r="D36" s="143" t="s">
        <v>1552</v>
      </c>
      <c r="E36" s="143" t="s">
        <v>1498</v>
      </c>
      <c r="F36" s="143" t="s">
        <v>1502</v>
      </c>
      <c r="M36" s="143" t="s">
        <v>1503</v>
      </c>
      <c r="N36" s="143" t="s">
        <v>1480</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1504</v>
      </c>
      <c r="C37" s="143" t="s">
        <v>1101</v>
      </c>
      <c r="D37" s="143" t="s">
        <v>1553</v>
      </c>
      <c r="E37" s="143" t="s">
        <v>1504</v>
      </c>
      <c r="M37" s="143" t="s">
        <v>1505</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1504</v>
      </c>
      <c r="C38" s="143" t="s">
        <v>1101</v>
      </c>
      <c r="D38" s="143" t="s">
        <v>1553</v>
      </c>
      <c r="E38" s="143" t="s">
        <v>1504</v>
      </c>
      <c r="M38" s="143" t="s">
        <v>1505</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1504</v>
      </c>
      <c r="C39" s="143" t="s">
        <v>1101</v>
      </c>
      <c r="D39" s="143" t="s">
        <v>1553</v>
      </c>
      <c r="E39" s="143" t="s">
        <v>1504</v>
      </c>
      <c r="M39" s="143" t="s">
        <v>1505</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1504</v>
      </c>
      <c r="C40" s="143" t="s">
        <v>1101</v>
      </c>
      <c r="D40" s="143" t="s">
        <v>1553</v>
      </c>
      <c r="E40" s="143" t="s">
        <v>1504</v>
      </c>
      <c r="M40" s="143" t="s">
        <v>1505</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1507</v>
      </c>
      <c r="C41" s="143" t="s">
        <v>1101</v>
      </c>
      <c r="D41" s="143" t="s">
        <v>1553</v>
      </c>
      <c r="E41" s="143" t="s">
        <v>1506</v>
      </c>
      <c r="F41" s="143" t="s">
        <v>1507</v>
      </c>
      <c r="M41" s="143" t="s">
        <v>1508</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1507</v>
      </c>
      <c r="C42" s="143" t="s">
        <v>1101</v>
      </c>
      <c r="D42" s="143" t="s">
        <v>1553</v>
      </c>
      <c r="E42" s="143" t="s">
        <v>1506</v>
      </c>
      <c r="F42" s="143" t="s">
        <v>1507</v>
      </c>
      <c r="M42" s="143" t="s">
        <v>1508</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1507</v>
      </c>
      <c r="C43" s="143" t="s">
        <v>1101</v>
      </c>
      <c r="D43" s="143" t="s">
        <v>1553</v>
      </c>
      <c r="E43" s="143" t="s">
        <v>1506</v>
      </c>
      <c r="F43" s="143" t="s">
        <v>1507</v>
      </c>
      <c r="M43" s="143" t="s">
        <v>1508</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1509</v>
      </c>
      <c r="C44" s="143" t="s">
        <v>1101</v>
      </c>
      <c r="D44" s="143" t="s">
        <v>1553</v>
      </c>
      <c r="E44" s="143" t="s">
        <v>1506</v>
      </c>
      <c r="F44" s="143" t="s">
        <v>1509</v>
      </c>
      <c r="M44" s="143" t="s">
        <v>1510</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1509</v>
      </c>
      <c r="C45" s="143" t="s">
        <v>1101</v>
      </c>
      <c r="D45" s="143" t="s">
        <v>1553</v>
      </c>
      <c r="E45" s="143" t="s">
        <v>1506</v>
      </c>
      <c r="F45" s="143" t="s">
        <v>1509</v>
      </c>
      <c r="M45" s="143" t="s">
        <v>1510</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1509</v>
      </c>
      <c r="C46" s="143" t="s">
        <v>1101</v>
      </c>
      <c r="D46" s="143" t="s">
        <v>1553</v>
      </c>
      <c r="E46" s="143" t="s">
        <v>1506</v>
      </c>
      <c r="F46" s="143" t="s">
        <v>1509</v>
      </c>
      <c r="M46" s="143" t="s">
        <v>1510</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1511</v>
      </c>
      <c r="C47" s="143" t="s">
        <v>1101</v>
      </c>
      <c r="D47" s="143" t="s">
        <v>1553</v>
      </c>
      <c r="E47" s="143" t="s">
        <v>1506</v>
      </c>
      <c r="F47" s="143" t="s">
        <v>1511</v>
      </c>
      <c r="M47" s="143" t="s">
        <v>1512</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1511</v>
      </c>
      <c r="C48" s="143" t="s">
        <v>1101</v>
      </c>
      <c r="D48" s="143" t="s">
        <v>1553</v>
      </c>
      <c r="E48" s="143" t="s">
        <v>1506</v>
      </c>
      <c r="F48" s="143" t="s">
        <v>1511</v>
      </c>
      <c r="M48" s="143" t="s">
        <v>1512</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1511</v>
      </c>
      <c r="C49" s="143" t="s">
        <v>1101</v>
      </c>
      <c r="D49" s="143" t="s">
        <v>1553</v>
      </c>
      <c r="E49" s="143" t="s">
        <v>1506</v>
      </c>
      <c r="F49" s="143" t="s">
        <v>1511</v>
      </c>
      <c r="M49" s="143" t="s">
        <v>1512</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1511</v>
      </c>
      <c r="C50" s="143" t="s">
        <v>1101</v>
      </c>
      <c r="D50" s="143" t="s">
        <v>1553</v>
      </c>
      <c r="E50" s="143" t="s">
        <v>1506</v>
      </c>
      <c r="F50" s="143" t="s">
        <v>1511</v>
      </c>
      <c r="M50" s="143" t="s">
        <v>1512</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1513</v>
      </c>
      <c r="C51" s="143" t="s">
        <v>1101</v>
      </c>
      <c r="D51" s="143" t="s">
        <v>1553</v>
      </c>
      <c r="E51" s="143" t="s">
        <v>1513</v>
      </c>
      <c r="M51" s="143" t="s">
        <v>1514</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1513</v>
      </c>
      <c r="C52" s="143" t="s">
        <v>1101</v>
      </c>
      <c r="D52" s="143" t="s">
        <v>1553</v>
      </c>
      <c r="E52" s="143" t="s">
        <v>1513</v>
      </c>
      <c r="M52" s="143" t="s">
        <v>1514</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1516</v>
      </c>
      <c r="C53" s="143" t="s">
        <v>1101</v>
      </c>
      <c r="D53" s="143" t="s">
        <v>1554</v>
      </c>
      <c r="E53" s="143" t="s">
        <v>1515</v>
      </c>
      <c r="F53" s="143" t="s">
        <v>1516</v>
      </c>
      <c r="M53" s="143" t="s">
        <v>1517</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1516</v>
      </c>
      <c r="C54" s="143" t="s">
        <v>1101</v>
      </c>
      <c r="D54" s="143" t="s">
        <v>1554</v>
      </c>
      <c r="E54" s="143" t="s">
        <v>1515</v>
      </c>
      <c r="F54" s="143" t="s">
        <v>1516</v>
      </c>
      <c r="M54" s="143" t="s">
        <v>1517</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1520</v>
      </c>
      <c r="C55" s="143" t="s">
        <v>1101</v>
      </c>
      <c r="D55" s="143" t="s">
        <v>1554</v>
      </c>
      <c r="E55" s="143" t="s">
        <v>1515</v>
      </c>
      <c r="F55" s="143" t="s">
        <v>1518</v>
      </c>
      <c r="G55" s="143" t="s">
        <v>1519</v>
      </c>
      <c r="H55" s="143" t="s">
        <v>1520</v>
      </c>
      <c r="M55" s="143" t="s">
        <v>1521</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1520</v>
      </c>
      <c r="C56" s="143" t="s">
        <v>1101</v>
      </c>
      <c r="D56" s="143" t="s">
        <v>1554</v>
      </c>
      <c r="E56" s="143" t="s">
        <v>1515</v>
      </c>
      <c r="F56" s="143" t="s">
        <v>1518</v>
      </c>
      <c r="G56" s="143" t="s">
        <v>1519</v>
      </c>
      <c r="H56" s="143" t="s">
        <v>1520</v>
      </c>
      <c r="M56" s="143" t="s">
        <v>1521</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1522</v>
      </c>
      <c r="C57" s="143" t="s">
        <v>1101</v>
      </c>
      <c r="D57" s="143" t="s">
        <v>1554</v>
      </c>
      <c r="E57" s="143" t="s">
        <v>1515</v>
      </c>
      <c r="F57" s="143" t="s">
        <v>1518</v>
      </c>
      <c r="G57" s="143" t="s">
        <v>1519</v>
      </c>
      <c r="H57" s="143" t="s">
        <v>1522</v>
      </c>
      <c r="M57" s="143" t="s">
        <v>1523</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1522</v>
      </c>
      <c r="C58" s="143" t="s">
        <v>1101</v>
      </c>
      <c r="D58" s="143" t="s">
        <v>1554</v>
      </c>
      <c r="E58" s="143" t="s">
        <v>1515</v>
      </c>
      <c r="F58" s="143" t="s">
        <v>1518</v>
      </c>
      <c r="G58" s="143" t="s">
        <v>1519</v>
      </c>
      <c r="H58" s="143" t="s">
        <v>1522</v>
      </c>
      <c r="M58" s="143" t="s">
        <v>1523</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1524</v>
      </c>
      <c r="C59" s="143" t="s">
        <v>1101</v>
      </c>
      <c r="D59" s="143" t="s">
        <v>1554</v>
      </c>
      <c r="E59" s="143" t="s">
        <v>1515</v>
      </c>
      <c r="F59" s="143" t="s">
        <v>1518</v>
      </c>
      <c r="G59" s="143" t="s">
        <v>1519</v>
      </c>
      <c r="H59" s="143" t="s">
        <v>1524</v>
      </c>
      <c r="M59" s="143" t="s">
        <v>1525</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1524</v>
      </c>
      <c r="C60" s="143" t="s">
        <v>1101</v>
      </c>
      <c r="D60" s="143" t="s">
        <v>1554</v>
      </c>
      <c r="E60" s="143" t="s">
        <v>1515</v>
      </c>
      <c r="F60" s="143" t="s">
        <v>1518</v>
      </c>
      <c r="G60" s="143" t="s">
        <v>1519</v>
      </c>
      <c r="H60" s="143" t="s">
        <v>1524</v>
      </c>
      <c r="M60" s="143" t="s">
        <v>1525</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1524</v>
      </c>
      <c r="C61" s="143" t="s">
        <v>1101</v>
      </c>
      <c r="D61" s="143" t="s">
        <v>1554</v>
      </c>
      <c r="E61" s="143" t="s">
        <v>1515</v>
      </c>
      <c r="F61" s="143" t="s">
        <v>1518</v>
      </c>
      <c r="G61" s="143" t="s">
        <v>1519</v>
      </c>
      <c r="H61" s="143" t="s">
        <v>1524</v>
      </c>
      <c r="M61" s="143" t="s">
        <v>1525</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1526</v>
      </c>
      <c r="C62" s="143" t="s">
        <v>1101</v>
      </c>
      <c r="D62" s="143" t="s">
        <v>1554</v>
      </c>
      <c r="E62" s="143" t="s">
        <v>1515</v>
      </c>
      <c r="F62" s="143" t="s">
        <v>1518</v>
      </c>
      <c r="G62" s="143" t="s">
        <v>1526</v>
      </c>
      <c r="M62" s="143" t="s">
        <v>1527</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1526</v>
      </c>
      <c r="C63" s="143" t="s">
        <v>1101</v>
      </c>
      <c r="D63" s="143" t="s">
        <v>1554</v>
      </c>
      <c r="E63" s="143" t="s">
        <v>1515</v>
      </c>
      <c r="F63" s="143" t="s">
        <v>1518</v>
      </c>
      <c r="G63" s="143" t="s">
        <v>1526</v>
      </c>
      <c r="M63" s="143" t="s">
        <v>1527</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1526</v>
      </c>
      <c r="C64" s="143" t="s">
        <v>1101</v>
      </c>
      <c r="D64" s="143" t="s">
        <v>1554</v>
      </c>
      <c r="E64" s="143" t="s">
        <v>1515</v>
      </c>
      <c r="F64" s="143" t="s">
        <v>1518</v>
      </c>
      <c r="G64" s="143" t="s">
        <v>1526</v>
      </c>
      <c r="M64" s="143" t="s">
        <v>1527</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1526</v>
      </c>
      <c r="C65" s="143" t="s">
        <v>1101</v>
      </c>
      <c r="D65" s="143" t="s">
        <v>1554</v>
      </c>
      <c r="E65" s="143" t="s">
        <v>1515</v>
      </c>
      <c r="F65" s="143" t="s">
        <v>1518</v>
      </c>
      <c r="G65" s="143" t="s">
        <v>1526</v>
      </c>
      <c r="M65" s="143" t="s">
        <v>1527</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1526</v>
      </c>
      <c r="C66" s="143" t="s">
        <v>1101</v>
      </c>
      <c r="D66" s="143" t="s">
        <v>1554</v>
      </c>
      <c r="E66" s="143" t="s">
        <v>1515</v>
      </c>
      <c r="F66" s="143" t="s">
        <v>1518</v>
      </c>
      <c r="G66" s="143" t="s">
        <v>1526</v>
      </c>
      <c r="M66" s="143" t="s">
        <v>1527</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1526</v>
      </c>
      <c r="C67" s="143" t="s">
        <v>1101</v>
      </c>
      <c r="D67" s="143" t="s">
        <v>1554</v>
      </c>
      <c r="E67" s="143" t="s">
        <v>1515</v>
      </c>
      <c r="F67" s="143" t="s">
        <v>1518</v>
      </c>
      <c r="G67" s="143" t="s">
        <v>1526</v>
      </c>
      <c r="M67" s="143" t="s">
        <v>1527</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1526</v>
      </c>
      <c r="C68" s="143" t="s">
        <v>1101</v>
      </c>
      <c r="D68" s="143" t="s">
        <v>1554</v>
      </c>
      <c r="E68" s="143" t="s">
        <v>1515</v>
      </c>
      <c r="F68" s="143" t="s">
        <v>1518</v>
      </c>
      <c r="G68" s="143" t="s">
        <v>1526</v>
      </c>
      <c r="M68" s="143" t="s">
        <v>1527</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1526</v>
      </c>
      <c r="C69" s="143" t="s">
        <v>1101</v>
      </c>
      <c r="D69" s="143" t="s">
        <v>1554</v>
      </c>
      <c r="E69" s="143" t="s">
        <v>1515</v>
      </c>
      <c r="F69" s="143" t="s">
        <v>1518</v>
      </c>
      <c r="G69" s="143" t="s">
        <v>1526</v>
      </c>
      <c r="M69" s="143" t="s">
        <v>1527</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1526</v>
      </c>
      <c r="C70" s="143" t="s">
        <v>1101</v>
      </c>
      <c r="D70" s="143" t="s">
        <v>1554</v>
      </c>
      <c r="E70" s="143" t="s">
        <v>1515</v>
      </c>
      <c r="F70" s="143" t="s">
        <v>1518</v>
      </c>
      <c r="G70" s="143" t="s">
        <v>1526</v>
      </c>
      <c r="M70" s="143" t="s">
        <v>1527</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1526</v>
      </c>
      <c r="C71" s="143" t="s">
        <v>1101</v>
      </c>
      <c r="D71" s="143" t="s">
        <v>1554</v>
      </c>
      <c r="E71" s="143" t="s">
        <v>1515</v>
      </c>
      <c r="F71" s="143" t="s">
        <v>1518</v>
      </c>
      <c r="G71" s="143" t="s">
        <v>1526</v>
      </c>
      <c r="M71" s="143" t="s">
        <v>1527</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1528</v>
      </c>
      <c r="C72" s="143" t="s">
        <v>1101</v>
      </c>
      <c r="D72" s="143" t="s">
        <v>1554</v>
      </c>
      <c r="E72" s="143" t="s">
        <v>1515</v>
      </c>
      <c r="F72" s="143" t="s">
        <v>1518</v>
      </c>
      <c r="G72" s="143" t="s">
        <v>1528</v>
      </c>
      <c r="M72" s="143" t="s">
        <v>1529</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1528</v>
      </c>
      <c r="C73" s="143" t="s">
        <v>1101</v>
      </c>
      <c r="D73" s="143" t="s">
        <v>1554</v>
      </c>
      <c r="E73" s="143" t="s">
        <v>1515</v>
      </c>
      <c r="F73" s="143" t="s">
        <v>1518</v>
      </c>
      <c r="G73" s="143" t="s">
        <v>1528</v>
      </c>
      <c r="M73" s="143" t="s">
        <v>1529</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1528</v>
      </c>
      <c r="C74" s="143" t="s">
        <v>1101</v>
      </c>
      <c r="D74" s="143" t="s">
        <v>1554</v>
      </c>
      <c r="E74" s="143" t="s">
        <v>1515</v>
      </c>
      <c r="F74" s="143" t="s">
        <v>1518</v>
      </c>
      <c r="G74" s="143" t="s">
        <v>1528</v>
      </c>
      <c r="M74" s="143" t="s">
        <v>1529</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1528</v>
      </c>
      <c r="C75" s="143" t="s">
        <v>1101</v>
      </c>
      <c r="D75" s="143" t="s">
        <v>1554</v>
      </c>
      <c r="E75" s="143" t="s">
        <v>1515</v>
      </c>
      <c r="F75" s="143" t="s">
        <v>1518</v>
      </c>
      <c r="G75" s="143" t="s">
        <v>1528</v>
      </c>
      <c r="M75" s="143" t="s">
        <v>1529</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1528</v>
      </c>
      <c r="C76" s="143" t="s">
        <v>1101</v>
      </c>
      <c r="D76" s="143" t="s">
        <v>1554</v>
      </c>
      <c r="E76" s="143" t="s">
        <v>1515</v>
      </c>
      <c r="F76" s="143" t="s">
        <v>1518</v>
      </c>
      <c r="G76" s="143" t="s">
        <v>1528</v>
      </c>
      <c r="M76" s="143" t="s">
        <v>1529</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1528</v>
      </c>
      <c r="C77" s="143" t="s">
        <v>1101</v>
      </c>
      <c r="D77" s="143" t="s">
        <v>1554</v>
      </c>
      <c r="E77" s="143" t="s">
        <v>1515</v>
      </c>
      <c r="F77" s="143" t="s">
        <v>1518</v>
      </c>
      <c r="G77" s="143" t="s">
        <v>1528</v>
      </c>
      <c r="M77" s="143" t="s">
        <v>1529</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1528</v>
      </c>
      <c r="C78" s="143" t="s">
        <v>1101</v>
      </c>
      <c r="D78" s="143" t="s">
        <v>1554</v>
      </c>
      <c r="E78" s="143" t="s">
        <v>1515</v>
      </c>
      <c r="F78" s="143" t="s">
        <v>1518</v>
      </c>
      <c r="G78" s="143" t="s">
        <v>1528</v>
      </c>
      <c r="M78" s="143" t="s">
        <v>1529</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1528</v>
      </c>
      <c r="C79" s="143" t="s">
        <v>1101</v>
      </c>
      <c r="D79" s="143" t="s">
        <v>1554</v>
      </c>
      <c r="E79" s="143" t="s">
        <v>1515</v>
      </c>
      <c r="F79" s="143" t="s">
        <v>1518</v>
      </c>
      <c r="G79" s="143" t="s">
        <v>1528</v>
      </c>
      <c r="M79" s="143" t="s">
        <v>1529</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1528</v>
      </c>
      <c r="C80" s="143" t="s">
        <v>1101</v>
      </c>
      <c r="D80" s="143" t="s">
        <v>1554</v>
      </c>
      <c r="E80" s="143" t="s">
        <v>1515</v>
      </c>
      <c r="F80" s="143" t="s">
        <v>1518</v>
      </c>
      <c r="G80" s="143" t="s">
        <v>1528</v>
      </c>
      <c r="M80" s="143" t="s">
        <v>1529</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1528</v>
      </c>
      <c r="C81" s="143" t="s">
        <v>1101</v>
      </c>
      <c r="D81" s="143" t="s">
        <v>1554</v>
      </c>
      <c r="E81" s="143" t="s">
        <v>1515</v>
      </c>
      <c r="F81" s="143" t="s">
        <v>1518</v>
      </c>
      <c r="G81" s="143" t="s">
        <v>1528</v>
      </c>
      <c r="M81" s="143" t="s">
        <v>1529</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1530</v>
      </c>
      <c r="C82" s="143" t="s">
        <v>1101</v>
      </c>
      <c r="D82" s="143" t="s">
        <v>1554</v>
      </c>
      <c r="E82" s="143" t="s">
        <v>1515</v>
      </c>
      <c r="F82" s="143" t="s">
        <v>1518</v>
      </c>
      <c r="G82" s="143" t="s">
        <v>1530</v>
      </c>
      <c r="M82" s="143" t="s">
        <v>1531</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1530</v>
      </c>
      <c r="C83" s="143" t="s">
        <v>1101</v>
      </c>
      <c r="D83" s="143" t="s">
        <v>1554</v>
      </c>
      <c r="E83" s="143" t="s">
        <v>1515</v>
      </c>
      <c r="F83" s="143" t="s">
        <v>1518</v>
      </c>
      <c r="G83" s="143" t="s">
        <v>1530</v>
      </c>
      <c r="M83" s="143" t="s">
        <v>1531</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1530</v>
      </c>
      <c r="C84" s="143" t="s">
        <v>1101</v>
      </c>
      <c r="D84" s="143" t="s">
        <v>1554</v>
      </c>
      <c r="E84" s="143" t="s">
        <v>1515</v>
      </c>
      <c r="F84" s="143" t="s">
        <v>1518</v>
      </c>
      <c r="G84" s="143" t="s">
        <v>1530</v>
      </c>
      <c r="M84" s="143" t="s">
        <v>1531</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1530</v>
      </c>
      <c r="C85" s="143" t="s">
        <v>1101</v>
      </c>
      <c r="D85" s="143" t="s">
        <v>1554</v>
      </c>
      <c r="E85" s="143" t="s">
        <v>1515</v>
      </c>
      <c r="F85" s="143" t="s">
        <v>1518</v>
      </c>
      <c r="G85" s="143" t="s">
        <v>1530</v>
      </c>
      <c r="M85" s="143" t="s">
        <v>1531</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1530</v>
      </c>
      <c r="C86" s="143" t="s">
        <v>1101</v>
      </c>
      <c r="D86" s="143" t="s">
        <v>1554</v>
      </c>
      <c r="E86" s="143" t="s">
        <v>1515</v>
      </c>
      <c r="F86" s="143" t="s">
        <v>1518</v>
      </c>
      <c r="G86" s="143" t="s">
        <v>1530</v>
      </c>
      <c r="M86" s="143" t="s">
        <v>1531</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1530</v>
      </c>
      <c r="C87" s="143" t="s">
        <v>1101</v>
      </c>
      <c r="D87" s="143" t="s">
        <v>1554</v>
      </c>
      <c r="E87" s="143" t="s">
        <v>1515</v>
      </c>
      <c r="F87" s="143" t="s">
        <v>1518</v>
      </c>
      <c r="G87" s="143" t="s">
        <v>1530</v>
      </c>
      <c r="M87" s="143" t="s">
        <v>1531</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1530</v>
      </c>
      <c r="C88" s="143" t="s">
        <v>1101</v>
      </c>
      <c r="D88" s="143" t="s">
        <v>1554</v>
      </c>
      <c r="E88" s="143" t="s">
        <v>1515</v>
      </c>
      <c r="F88" s="143" t="s">
        <v>1518</v>
      </c>
      <c r="G88" s="143" t="s">
        <v>1530</v>
      </c>
      <c r="M88" s="143" t="s">
        <v>1531</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1530</v>
      </c>
      <c r="C89" s="143" t="s">
        <v>1101</v>
      </c>
      <c r="D89" s="143" t="s">
        <v>1554</v>
      </c>
      <c r="E89" s="143" t="s">
        <v>1515</v>
      </c>
      <c r="F89" s="143" t="s">
        <v>1518</v>
      </c>
      <c r="G89" s="143" t="s">
        <v>1530</v>
      </c>
      <c r="M89" s="143" t="s">
        <v>1531</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1533</v>
      </c>
      <c r="C90" s="143" t="s">
        <v>1101</v>
      </c>
      <c r="D90" s="143" t="s">
        <v>1554</v>
      </c>
      <c r="E90" s="143" t="s">
        <v>1532</v>
      </c>
      <c r="F90" s="143" t="s">
        <v>1533</v>
      </c>
      <c r="M90" s="143" t="s">
        <v>1534</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1533</v>
      </c>
      <c r="C91" s="143" t="s">
        <v>1101</v>
      </c>
      <c r="D91" s="143" t="s">
        <v>1554</v>
      </c>
      <c r="E91" s="143" t="s">
        <v>1532</v>
      </c>
      <c r="F91" s="143" t="s">
        <v>1533</v>
      </c>
      <c r="M91" s="143" t="s">
        <v>1534</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1533</v>
      </c>
      <c r="C92" s="143" t="s">
        <v>1101</v>
      </c>
      <c r="D92" s="143" t="s">
        <v>1554</v>
      </c>
      <c r="E92" s="143" t="s">
        <v>1532</v>
      </c>
      <c r="F92" s="143" t="s">
        <v>1533</v>
      </c>
      <c r="M92" s="143" t="s">
        <v>1534</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1533</v>
      </c>
      <c r="C93" s="143" t="s">
        <v>1101</v>
      </c>
      <c r="D93" s="143" t="s">
        <v>1554</v>
      </c>
      <c r="E93" s="143" t="s">
        <v>1532</v>
      </c>
      <c r="F93" s="143" t="s">
        <v>1533</v>
      </c>
      <c r="M93" s="143" t="s">
        <v>1534</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1535</v>
      </c>
      <c r="C94" s="143" t="s">
        <v>1101</v>
      </c>
      <c r="D94" s="143" t="s">
        <v>1554</v>
      </c>
      <c r="E94" s="143" t="s">
        <v>1532</v>
      </c>
      <c r="F94" s="143" t="s">
        <v>1535</v>
      </c>
      <c r="M94" s="143" t="s">
        <v>1536</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1535</v>
      </c>
      <c r="C95" s="143" t="s">
        <v>1101</v>
      </c>
      <c r="D95" s="143" t="s">
        <v>1554</v>
      </c>
      <c r="E95" s="143" t="s">
        <v>1532</v>
      </c>
      <c r="F95" s="143" t="s">
        <v>1535</v>
      </c>
      <c r="M95" s="143" t="s">
        <v>1536</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1538</v>
      </c>
      <c r="C96" s="143" t="s">
        <v>1101</v>
      </c>
      <c r="D96" s="143" t="s">
        <v>1555</v>
      </c>
      <c r="E96" s="143" t="s">
        <v>1537</v>
      </c>
      <c r="F96" s="143" t="s">
        <v>1538</v>
      </c>
      <c r="M96" s="143" t="s">
        <v>1539</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1538</v>
      </c>
      <c r="C97" s="143" t="s">
        <v>1101</v>
      </c>
      <c r="D97" s="143" t="s">
        <v>1555</v>
      </c>
      <c r="E97" s="143" t="s">
        <v>1537</v>
      </c>
      <c r="F97" s="143" t="s">
        <v>1538</v>
      </c>
      <c r="M97" s="143" t="s">
        <v>1539</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1541</v>
      </c>
      <c r="C98" s="143" t="s">
        <v>1101</v>
      </c>
      <c r="D98" s="143" t="s">
        <v>1555</v>
      </c>
      <c r="E98" s="143" t="s">
        <v>1540</v>
      </c>
      <c r="F98" s="143" t="s">
        <v>1541</v>
      </c>
      <c r="M98" s="143" t="s">
        <v>1542</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1543</v>
      </c>
      <c r="C99" s="143" t="s">
        <v>1101</v>
      </c>
      <c r="D99" s="143" t="s">
        <v>1555</v>
      </c>
      <c r="E99" s="143" t="s">
        <v>1540</v>
      </c>
      <c r="F99" s="143" t="s">
        <v>1543</v>
      </c>
      <c r="M99" s="143" t="s">
        <v>1544</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1545</v>
      </c>
      <c r="C100" s="143" t="s">
        <v>1101</v>
      </c>
      <c r="D100" s="143" t="s">
        <v>1555</v>
      </c>
      <c r="E100" s="143" t="s">
        <v>1540</v>
      </c>
      <c r="F100" s="143" t="s">
        <v>1545</v>
      </c>
      <c r="M100" s="143" t="s">
        <v>1546</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1547</v>
      </c>
      <c r="C101" s="143" t="s">
        <v>1101</v>
      </c>
      <c r="D101" s="143" t="s">
        <v>1555</v>
      </c>
      <c r="E101" s="143" t="s">
        <v>1540</v>
      </c>
      <c r="F101" s="143" t="s">
        <v>1547</v>
      </c>
      <c r="M101" s="143" t="s">
        <v>1548</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multicampus</cp:lastModifiedBy>
  <cp:lastPrinted>2019-08-24T08:53:04Z</cp:lastPrinted>
  <dcterms:created xsi:type="dcterms:W3CDTF">2018-02-18T09:45:14Z</dcterms:created>
  <dcterms:modified xsi:type="dcterms:W3CDTF">2020-08-19T06:29:43Z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c30a6fb8-ec13-4613-8d99-3245f9455f92</vt:lpwstr>
  </property>
</Properties>
</file>